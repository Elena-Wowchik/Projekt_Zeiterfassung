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DieseArbeitsmappe"/>
  <mc:AlternateContent xmlns:mc="http://schemas.openxmlformats.org/markup-compatibility/2006">
    <mc:Choice Requires="x15">
      <x15ac:absPath xmlns:x15ac="http://schemas.microsoft.com/office/spreadsheetml/2010/11/ac" url="D:\awrDATEN\lena\DATA SCIENCE INSTITUTE\Projekt_Zeiterfassung\"/>
    </mc:Choice>
  </mc:AlternateContent>
  <xr:revisionPtr revIDLastSave="0" documentId="13_ncr:1_{D0A6F757-F303-4C01-BC64-D6E245C33C26}" xr6:coauthVersionLast="47" xr6:coauthVersionMax="47" xr10:uidLastSave="{00000000-0000-0000-0000-000000000000}"/>
  <bookViews>
    <workbookView xWindow="-103" yWindow="-103" windowWidth="16663" windowHeight="8743" firstSheet="1" activeTab="6" xr2:uid="{00000000-000D-0000-FFFF-FFFF00000000}"/>
  </bookViews>
  <sheets>
    <sheet name="Maerz" sheetId="1" r:id="rId1"/>
    <sheet name="april" sheetId="2" r:id="rId2"/>
    <sheet name="mai" sheetId="3" r:id="rId3"/>
    <sheet name="juni" sheetId="4" r:id="rId4"/>
    <sheet name="july" sheetId="5" r:id="rId5"/>
    <sheet name="august" sheetId="6" r:id="rId6"/>
    <sheet name="september" sheetId="7" r:id="rId7"/>
    <sheet name="oktober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0" i="5" l="1"/>
  <c r="D29" i="5"/>
  <c r="D28" i="5"/>
  <c r="D27" i="5"/>
  <c r="D26" i="5"/>
  <c r="D25" i="5"/>
  <c r="D24" i="5"/>
  <c r="D36" i="8"/>
  <c r="D35" i="8"/>
  <c r="D34" i="8"/>
  <c r="D33" i="8"/>
  <c r="D32" i="8"/>
  <c r="D31" i="8"/>
  <c r="D30" i="8"/>
  <c r="D29" i="8"/>
  <c r="D28" i="8"/>
  <c r="D27" i="8"/>
  <c r="D26" i="8"/>
  <c r="D25" i="8"/>
  <c r="G29" i="8" s="1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41" i="7"/>
  <c r="D40" i="7"/>
  <c r="D39" i="7"/>
  <c r="D38" i="7"/>
  <c r="D37" i="7"/>
  <c r="D36" i="7"/>
  <c r="D35" i="7"/>
  <c r="D25" i="7"/>
  <c r="D26" i="7"/>
  <c r="D27" i="7"/>
  <c r="D28" i="7"/>
  <c r="D29" i="7"/>
  <c r="D30" i="7"/>
  <c r="D24" i="7"/>
  <c r="D8" i="8"/>
  <c r="G8" i="8" s="1"/>
  <c r="D7" i="8"/>
  <c r="D6" i="8"/>
  <c r="D5" i="8"/>
  <c r="D4" i="8"/>
  <c r="D3" i="8"/>
  <c r="D2" i="8"/>
  <c r="D19" i="7"/>
  <c r="D18" i="7"/>
  <c r="D17" i="7"/>
  <c r="D16" i="7"/>
  <c r="D15" i="7"/>
  <c r="D14" i="7"/>
  <c r="D13" i="7"/>
  <c r="D9" i="7"/>
  <c r="D8" i="7"/>
  <c r="D7" i="7"/>
  <c r="D6" i="7"/>
  <c r="D5" i="7"/>
  <c r="D4" i="7"/>
  <c r="D3" i="7"/>
  <c r="D53" i="6"/>
  <c r="D41" i="6"/>
  <c r="D40" i="6"/>
  <c r="D39" i="6"/>
  <c r="D38" i="6"/>
  <c r="D37" i="6"/>
  <c r="D36" i="6"/>
  <c r="D35" i="6"/>
  <c r="D30" i="6"/>
  <c r="D29" i="6"/>
  <c r="D28" i="6"/>
  <c r="D27" i="6"/>
  <c r="D26" i="6"/>
  <c r="D25" i="6"/>
  <c r="D24" i="6"/>
  <c r="D19" i="6"/>
  <c r="D18" i="6"/>
  <c r="D17" i="6"/>
  <c r="D16" i="6"/>
  <c r="D15" i="6"/>
  <c r="D14" i="6"/>
  <c r="D13" i="6"/>
  <c r="D9" i="6"/>
  <c r="D8" i="6"/>
  <c r="D7" i="6"/>
  <c r="D6" i="6"/>
  <c r="D5" i="6"/>
  <c r="D4" i="6"/>
  <c r="D3" i="6"/>
  <c r="D52" i="5"/>
  <c r="D51" i="5"/>
  <c r="D50" i="5"/>
  <c r="D49" i="5"/>
  <c r="D48" i="5"/>
  <c r="D47" i="5"/>
  <c r="D46" i="5"/>
  <c r="D41" i="5"/>
  <c r="D40" i="5"/>
  <c r="D39" i="5"/>
  <c r="D38" i="5"/>
  <c r="D37" i="5"/>
  <c r="D36" i="5"/>
  <c r="D35" i="5"/>
  <c r="D19" i="5"/>
  <c r="D18" i="5"/>
  <c r="D17" i="5"/>
  <c r="D16" i="5"/>
  <c r="D15" i="5"/>
  <c r="D14" i="5"/>
  <c r="D13" i="5"/>
  <c r="G15" i="8" l="1"/>
  <c r="G22" i="8"/>
  <c r="G36" i="8"/>
  <c r="D42" i="7"/>
  <c r="D20" i="7"/>
  <c r="D10" i="7"/>
  <c r="D31" i="7"/>
  <c r="D20" i="5"/>
  <c r="D42" i="6"/>
  <c r="D31" i="5"/>
  <c r="D42" i="5"/>
  <c r="D53" i="5"/>
  <c r="D31" i="6"/>
  <c r="D20" i="6"/>
  <c r="D10" i="6"/>
  <c r="G39" i="8" l="1"/>
  <c r="D53" i="7"/>
  <c r="D54" i="6"/>
  <c r="D41" i="4"/>
  <c r="D40" i="4"/>
  <c r="D39" i="4"/>
  <c r="D38" i="4"/>
  <c r="D37" i="4"/>
  <c r="D36" i="4"/>
  <c r="D35" i="4"/>
  <c r="D42" i="4" l="1"/>
  <c r="D30" i="4"/>
  <c r="D29" i="4"/>
  <c r="D28" i="4"/>
  <c r="D27" i="4"/>
  <c r="D26" i="4"/>
  <c r="D25" i="4"/>
  <c r="D24" i="4"/>
  <c r="D31" i="4" l="1"/>
  <c r="D14" i="4"/>
  <c r="D15" i="4"/>
  <c r="D16" i="4"/>
  <c r="D17" i="4"/>
  <c r="D18" i="4"/>
  <c r="D19" i="4"/>
  <c r="D13" i="4"/>
  <c r="D4" i="4"/>
  <c r="D5" i="4"/>
  <c r="D6" i="4"/>
  <c r="D7" i="4"/>
  <c r="D8" i="4"/>
  <c r="D9" i="4"/>
  <c r="D3" i="4"/>
  <c r="D3" i="3"/>
  <c r="D20" i="4" l="1"/>
  <c r="D10" i="4"/>
  <c r="D30" i="3"/>
  <c r="D54" i="4" l="1"/>
  <c r="D51" i="3"/>
  <c r="D50" i="3"/>
  <c r="D49" i="3"/>
  <c r="D48" i="3"/>
  <c r="D47" i="3"/>
  <c r="D46" i="3"/>
  <c r="D45" i="3"/>
  <c r="D52" i="3" l="1"/>
  <c r="D4" i="3"/>
  <c r="D5" i="3"/>
  <c r="D6" i="3"/>
  <c r="D7" i="3"/>
  <c r="D8" i="3"/>
  <c r="D9" i="3"/>
  <c r="D41" i="3"/>
  <c r="D40" i="3"/>
  <c r="D39" i="3"/>
  <c r="D38" i="3"/>
  <c r="D37" i="3"/>
  <c r="D36" i="3"/>
  <c r="D35" i="3"/>
  <c r="D29" i="3"/>
  <c r="D28" i="3"/>
  <c r="D27" i="3"/>
  <c r="D26" i="3"/>
  <c r="D25" i="3"/>
  <c r="D24" i="3"/>
  <c r="D19" i="3"/>
  <c r="D18" i="3"/>
  <c r="D17" i="3"/>
  <c r="D16" i="3"/>
  <c r="D15" i="3"/>
  <c r="D14" i="3"/>
  <c r="D13" i="3"/>
  <c r="D42" i="3" l="1"/>
  <c r="D31" i="3"/>
  <c r="D20" i="3"/>
  <c r="D10" i="3"/>
  <c r="D41" i="2"/>
  <c r="D40" i="2"/>
  <c r="D39" i="2"/>
  <c r="D38" i="2"/>
  <c r="D37" i="2"/>
  <c r="D36" i="2"/>
  <c r="D35" i="2"/>
  <c r="D30" i="2"/>
  <c r="D29" i="2"/>
  <c r="D28" i="2"/>
  <c r="D27" i="2"/>
  <c r="D26" i="2"/>
  <c r="D25" i="2"/>
  <c r="D24" i="2"/>
  <c r="D14" i="2"/>
  <c r="D15" i="2"/>
  <c r="D16" i="2"/>
  <c r="D17" i="2"/>
  <c r="D18" i="2"/>
  <c r="D19" i="2"/>
  <c r="D13" i="2"/>
  <c r="D54" i="3" l="1"/>
  <c r="D20" i="2"/>
  <c r="D31" i="2"/>
  <c r="D42" i="2"/>
  <c r="D4" i="2"/>
  <c r="D5" i="2"/>
  <c r="D6" i="2"/>
  <c r="D7" i="2"/>
  <c r="D8" i="2"/>
  <c r="D9" i="2"/>
  <c r="D3" i="2"/>
  <c r="D10" i="2" l="1"/>
  <c r="D44" i="2" s="1"/>
  <c r="D36" i="1"/>
  <c r="D37" i="1"/>
  <c r="D38" i="1"/>
  <c r="D39" i="1"/>
  <c r="D40" i="1"/>
  <c r="D41" i="1"/>
  <c r="D35" i="1"/>
  <c r="D25" i="1"/>
  <c r="D26" i="1"/>
  <c r="D27" i="1"/>
  <c r="D28" i="1"/>
  <c r="D29" i="1"/>
  <c r="D30" i="1"/>
  <c r="D24" i="1"/>
  <c r="D42" i="1" l="1"/>
  <c r="D31" i="1"/>
  <c r="D14" i="1"/>
  <c r="D15" i="1"/>
  <c r="D16" i="1"/>
  <c r="D17" i="1"/>
  <c r="D18" i="1"/>
  <c r="D19" i="1"/>
  <c r="D13" i="1"/>
  <c r="D20" i="1" l="1"/>
  <c r="D9" i="1"/>
  <c r="D4" i="1"/>
  <c r="D5" i="1"/>
  <c r="D6" i="1"/>
  <c r="D3" i="1"/>
  <c r="D54" i="5"/>
  <c r="D3" i="5"/>
  <c r="D44" i="1" l="1"/>
  <c r="D10" i="1"/>
</calcChain>
</file>

<file path=xl/sharedStrings.xml><?xml version="1.0" encoding="utf-8"?>
<sst xmlns="http://schemas.openxmlformats.org/spreadsheetml/2006/main" count="103" uniqueCount="41">
  <si>
    <t>selbstständig</t>
  </si>
  <si>
    <t>Vorlesung</t>
  </si>
  <si>
    <t>summe</t>
  </si>
  <si>
    <t>Wochenstunden:</t>
  </si>
  <si>
    <t>Woche 1</t>
  </si>
  <si>
    <t>Woche 2</t>
  </si>
  <si>
    <t>Woche 3</t>
  </si>
  <si>
    <t>Woche 4</t>
  </si>
  <si>
    <t>Total Monatstunden:</t>
  </si>
  <si>
    <t>Woche 5</t>
  </si>
  <si>
    <t>Woche 6</t>
  </si>
  <si>
    <t>Woche 7</t>
  </si>
  <si>
    <t>Woche 8</t>
  </si>
  <si>
    <t>Woche 9</t>
  </si>
  <si>
    <t>Woche 10</t>
  </si>
  <si>
    <t>Woche 11</t>
  </si>
  <si>
    <t>Woche 12</t>
  </si>
  <si>
    <t>Woche 13</t>
  </si>
  <si>
    <t>Woche 14</t>
  </si>
  <si>
    <t>Woche 15</t>
  </si>
  <si>
    <t>Woche 16</t>
  </si>
  <si>
    <t>Woche 17</t>
  </si>
  <si>
    <t>herr günter</t>
  </si>
  <si>
    <t>02161-256180</t>
  </si>
  <si>
    <t>Woche 19</t>
  </si>
  <si>
    <t>Woche 20</t>
  </si>
  <si>
    <t>Woche 21</t>
  </si>
  <si>
    <t>Woche 22</t>
  </si>
  <si>
    <t xml:space="preserve">nmmmb </t>
  </si>
  <si>
    <t>Woche 23</t>
  </si>
  <si>
    <t>Woche 24</t>
  </si>
  <si>
    <t>Woche 25</t>
  </si>
  <si>
    <t>Woche 26</t>
  </si>
  <si>
    <t>Woche 27</t>
  </si>
  <si>
    <t>Woche 28</t>
  </si>
  <si>
    <t>Woche 29</t>
  </si>
  <si>
    <t>Woche 30</t>
  </si>
  <si>
    <t>Woche 31</t>
  </si>
  <si>
    <t>Woche 32</t>
  </si>
  <si>
    <t>Woche 33</t>
  </si>
  <si>
    <t>summe: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</si>
</sst>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0" borderId="0" xfId="0" applyAlignment="1">
      <alignment wrapText="1"/>
    </xf>
    <xf numFmtId="0" fontId="1" fillId="0" borderId="0" xfId="0" applyFont="1"/>
    <xf numFmtId="14" fontId="0" fillId="0" borderId="1" xfId="0" applyNumberFormat="1" applyBorder="1"/>
    <xf numFmtId="0" fontId="0" fillId="0" borderId="2" xfId="0" applyBorder="1"/>
    <xf numFmtId="0" fontId="0" fillId="0" borderId="3" xfId="0" applyBorder="1"/>
    <xf numFmtId="14" fontId="0" fillId="0" borderId="4" xfId="0" applyNumberFormat="1" applyBorder="1"/>
    <xf numFmtId="0" fontId="0" fillId="0" borderId="5" xfId="0" applyBorder="1"/>
    <xf numFmtId="14" fontId="0" fillId="0" borderId="6" xfId="0" applyNumberFormat="1" applyBorder="1"/>
    <xf numFmtId="0" fontId="1" fillId="0" borderId="7" xfId="0" applyFont="1" applyBorder="1"/>
    <xf numFmtId="0" fontId="0" fillId="0" borderId="7" xfId="0" applyBorder="1"/>
    <xf numFmtId="0" fontId="0" fillId="0" borderId="8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D44"/>
  <sheetViews>
    <sheetView topLeftCell="A28" workbookViewId="0">
      <selection activeCell="D35" sqref="D35:D41"/>
    </sheetView>
  </sheetViews>
  <sheetFormatPr baseColWidth="10" defaultRowHeight="14.6" x14ac:dyDescent="0.4"/>
  <cols>
    <col min="2" max="4" width="15.84375" customWidth="1"/>
  </cols>
  <sheetData>
    <row r="1" spans="1:4" x14ac:dyDescent="0.4">
      <c r="A1" t="s">
        <v>4</v>
      </c>
    </row>
    <row r="2" spans="1:4" x14ac:dyDescent="0.4">
      <c r="B2" t="s">
        <v>0</v>
      </c>
      <c r="C2" t="s">
        <v>1</v>
      </c>
      <c r="D2" t="s">
        <v>2</v>
      </c>
    </row>
    <row r="3" spans="1:4" x14ac:dyDescent="0.4">
      <c r="A3" s="1">
        <v>45719</v>
      </c>
      <c r="B3">
        <v>2</v>
      </c>
      <c r="C3">
        <v>2</v>
      </c>
      <c r="D3">
        <f>B3+C3</f>
        <v>4</v>
      </c>
    </row>
    <row r="4" spans="1:4" x14ac:dyDescent="0.4">
      <c r="A4" s="1">
        <v>45720</v>
      </c>
      <c r="B4">
        <v>8</v>
      </c>
      <c r="D4">
        <f>B4+C4</f>
        <v>8</v>
      </c>
    </row>
    <row r="5" spans="1:4" x14ac:dyDescent="0.4">
      <c r="A5" s="1">
        <v>45721</v>
      </c>
      <c r="B5">
        <v>6</v>
      </c>
      <c r="D5">
        <f>B5+C5</f>
        <v>6</v>
      </c>
    </row>
    <row r="6" spans="1:4" x14ac:dyDescent="0.4">
      <c r="A6" s="1">
        <v>45722</v>
      </c>
      <c r="B6">
        <v>5</v>
      </c>
      <c r="C6">
        <v>2</v>
      </c>
      <c r="D6">
        <f>B6+C6</f>
        <v>7</v>
      </c>
    </row>
    <row r="7" spans="1:4" x14ac:dyDescent="0.4">
      <c r="A7" s="1">
        <v>45723</v>
      </c>
    </row>
    <row r="8" spans="1:4" x14ac:dyDescent="0.4">
      <c r="A8" s="1">
        <v>45724</v>
      </c>
    </row>
    <row r="9" spans="1:4" x14ac:dyDescent="0.4">
      <c r="A9" s="1">
        <v>45725</v>
      </c>
      <c r="B9">
        <v>0</v>
      </c>
      <c r="C9">
        <v>0</v>
      </c>
      <c r="D9">
        <f>B9+C9</f>
        <v>0</v>
      </c>
    </row>
    <row r="10" spans="1:4" x14ac:dyDescent="0.4">
      <c r="C10" t="s">
        <v>3</v>
      </c>
      <c r="D10" s="2">
        <f>SUM(D3:D9)</f>
        <v>25</v>
      </c>
    </row>
    <row r="12" spans="1:4" x14ac:dyDescent="0.4">
      <c r="A12" t="s">
        <v>5</v>
      </c>
    </row>
    <row r="13" spans="1:4" x14ac:dyDescent="0.4">
      <c r="A13" s="1">
        <v>45726</v>
      </c>
      <c r="B13">
        <v>6</v>
      </c>
      <c r="C13">
        <v>2</v>
      </c>
      <c r="D13">
        <f>SUM(B13:C13)</f>
        <v>8</v>
      </c>
    </row>
    <row r="14" spans="1:4" x14ac:dyDescent="0.4">
      <c r="A14" s="1">
        <v>45727</v>
      </c>
      <c r="B14">
        <v>4</v>
      </c>
      <c r="D14">
        <f t="shared" ref="D14:D19" si="0">SUM(B14:C14)</f>
        <v>4</v>
      </c>
    </row>
    <row r="15" spans="1:4" x14ac:dyDescent="0.4">
      <c r="A15" s="1">
        <v>45728</v>
      </c>
      <c r="B15">
        <v>5</v>
      </c>
      <c r="D15">
        <f t="shared" si="0"/>
        <v>5</v>
      </c>
    </row>
    <row r="16" spans="1:4" x14ac:dyDescent="0.4">
      <c r="A16" s="1">
        <v>45729</v>
      </c>
      <c r="B16">
        <v>5</v>
      </c>
      <c r="C16">
        <v>2</v>
      </c>
      <c r="D16">
        <f t="shared" si="0"/>
        <v>7</v>
      </c>
    </row>
    <row r="17" spans="1:4" x14ac:dyDescent="0.4">
      <c r="A17" s="1">
        <v>45730</v>
      </c>
      <c r="B17">
        <v>2</v>
      </c>
      <c r="D17">
        <f t="shared" si="0"/>
        <v>2</v>
      </c>
    </row>
    <row r="18" spans="1:4" x14ac:dyDescent="0.4">
      <c r="A18" s="1">
        <v>45731</v>
      </c>
      <c r="B18">
        <v>6</v>
      </c>
      <c r="D18">
        <f t="shared" si="0"/>
        <v>6</v>
      </c>
    </row>
    <row r="19" spans="1:4" x14ac:dyDescent="0.4">
      <c r="A19" s="1">
        <v>45732</v>
      </c>
      <c r="B19">
        <v>2</v>
      </c>
      <c r="D19">
        <f t="shared" si="0"/>
        <v>2</v>
      </c>
    </row>
    <row r="20" spans="1:4" x14ac:dyDescent="0.4">
      <c r="C20" t="s">
        <v>3</v>
      </c>
      <c r="D20" s="2">
        <f>SUM(D13:D19)</f>
        <v>34</v>
      </c>
    </row>
    <row r="23" spans="1:4" x14ac:dyDescent="0.4">
      <c r="A23" t="s">
        <v>6</v>
      </c>
    </row>
    <row r="24" spans="1:4" x14ac:dyDescent="0.4">
      <c r="A24" s="1">
        <v>45733</v>
      </c>
      <c r="B24">
        <v>5</v>
      </c>
      <c r="C24">
        <v>2</v>
      </c>
      <c r="D24">
        <f>SUM(B24:C24)</f>
        <v>7</v>
      </c>
    </row>
    <row r="25" spans="1:4" x14ac:dyDescent="0.4">
      <c r="A25" s="1">
        <v>45734</v>
      </c>
      <c r="B25">
        <v>5</v>
      </c>
      <c r="D25">
        <f t="shared" ref="D25:D30" si="1">SUM(B25:C25)</f>
        <v>5</v>
      </c>
    </row>
    <row r="26" spans="1:4" x14ac:dyDescent="0.4">
      <c r="A26" s="1">
        <v>45735</v>
      </c>
      <c r="B26">
        <v>4</v>
      </c>
      <c r="D26">
        <f t="shared" si="1"/>
        <v>4</v>
      </c>
    </row>
    <row r="27" spans="1:4" x14ac:dyDescent="0.4">
      <c r="A27" s="1">
        <v>45736</v>
      </c>
      <c r="B27">
        <v>4</v>
      </c>
      <c r="C27">
        <v>2</v>
      </c>
      <c r="D27">
        <f t="shared" si="1"/>
        <v>6</v>
      </c>
    </row>
    <row r="28" spans="1:4" x14ac:dyDescent="0.4">
      <c r="A28" s="1">
        <v>45737</v>
      </c>
      <c r="B28">
        <v>3</v>
      </c>
      <c r="D28">
        <f t="shared" si="1"/>
        <v>3</v>
      </c>
    </row>
    <row r="29" spans="1:4" x14ac:dyDescent="0.4">
      <c r="A29" s="1">
        <v>45738</v>
      </c>
      <c r="B29">
        <v>5</v>
      </c>
      <c r="D29">
        <f t="shared" si="1"/>
        <v>5</v>
      </c>
    </row>
    <row r="30" spans="1:4" x14ac:dyDescent="0.4">
      <c r="A30" s="1">
        <v>45739</v>
      </c>
      <c r="B30">
        <v>4</v>
      </c>
      <c r="D30">
        <f t="shared" si="1"/>
        <v>4</v>
      </c>
    </row>
    <row r="31" spans="1:4" x14ac:dyDescent="0.4">
      <c r="C31" t="s">
        <v>3</v>
      </c>
      <c r="D31" s="2">
        <f>SUM(D24:D30)</f>
        <v>34</v>
      </c>
    </row>
    <row r="34" spans="1:4" x14ac:dyDescent="0.4">
      <c r="A34" t="s">
        <v>7</v>
      </c>
    </row>
    <row r="35" spans="1:4" x14ac:dyDescent="0.4">
      <c r="A35" s="1">
        <v>45740</v>
      </c>
      <c r="B35">
        <v>5</v>
      </c>
      <c r="C35">
        <v>2</v>
      </c>
      <c r="D35">
        <f>SUM(B35:C35)</f>
        <v>7</v>
      </c>
    </row>
    <row r="36" spans="1:4" x14ac:dyDescent="0.4">
      <c r="A36" s="1">
        <v>45741</v>
      </c>
      <c r="B36">
        <v>7</v>
      </c>
      <c r="D36">
        <f t="shared" ref="D36:D41" si="2">SUM(B36:C36)</f>
        <v>7</v>
      </c>
    </row>
    <row r="37" spans="1:4" x14ac:dyDescent="0.4">
      <c r="A37" s="1">
        <v>45742</v>
      </c>
      <c r="B37">
        <v>5</v>
      </c>
      <c r="D37">
        <f t="shared" si="2"/>
        <v>5</v>
      </c>
    </row>
    <row r="38" spans="1:4" x14ac:dyDescent="0.4">
      <c r="A38" s="1">
        <v>45743</v>
      </c>
      <c r="B38">
        <v>6</v>
      </c>
      <c r="C38">
        <v>2</v>
      </c>
      <c r="D38">
        <f t="shared" si="2"/>
        <v>8</v>
      </c>
    </row>
    <row r="39" spans="1:4" x14ac:dyDescent="0.4">
      <c r="A39" s="1">
        <v>45744</v>
      </c>
      <c r="D39">
        <f t="shared" si="2"/>
        <v>0</v>
      </c>
    </row>
    <row r="40" spans="1:4" x14ac:dyDescent="0.4">
      <c r="A40" s="1">
        <v>45745</v>
      </c>
      <c r="B40">
        <v>7</v>
      </c>
      <c r="D40">
        <f t="shared" si="2"/>
        <v>7</v>
      </c>
    </row>
    <row r="41" spans="1:4" x14ac:dyDescent="0.4">
      <c r="A41" s="1">
        <v>45746</v>
      </c>
      <c r="B41">
        <v>3</v>
      </c>
      <c r="D41">
        <f t="shared" si="2"/>
        <v>3</v>
      </c>
    </row>
    <row r="42" spans="1:4" x14ac:dyDescent="0.4">
      <c r="C42" t="s">
        <v>3</v>
      </c>
      <c r="D42" s="2">
        <f>SUM(D35:D41)</f>
        <v>37</v>
      </c>
    </row>
    <row r="44" spans="1:4" ht="29.15" x14ac:dyDescent="0.4">
      <c r="C44" s="3" t="s">
        <v>8</v>
      </c>
      <c r="D44">
        <f>(D42+D31+D20+D10)</f>
        <v>130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2"/>
  <dimension ref="A1:D44"/>
  <sheetViews>
    <sheetView topLeftCell="A31" zoomScale="80" zoomScaleNormal="80" workbookViewId="0">
      <selection activeCell="D35" sqref="D35:D41"/>
    </sheetView>
  </sheetViews>
  <sheetFormatPr baseColWidth="10" defaultRowHeight="14.6" x14ac:dyDescent="0.4"/>
  <cols>
    <col min="2" max="4" width="15.84375" customWidth="1"/>
  </cols>
  <sheetData>
    <row r="1" spans="1:4" x14ac:dyDescent="0.4">
      <c r="A1" t="s">
        <v>9</v>
      </c>
    </row>
    <row r="2" spans="1:4" x14ac:dyDescent="0.4">
      <c r="B2" t="s">
        <v>0</v>
      </c>
      <c r="C2" t="s">
        <v>1</v>
      </c>
      <c r="D2" t="s">
        <v>2</v>
      </c>
    </row>
    <row r="3" spans="1:4" x14ac:dyDescent="0.4">
      <c r="A3" s="1">
        <v>45747</v>
      </c>
      <c r="B3">
        <v>5</v>
      </c>
      <c r="C3">
        <v>2</v>
      </c>
      <c r="D3">
        <f>B3+C3</f>
        <v>7</v>
      </c>
    </row>
    <row r="4" spans="1:4" x14ac:dyDescent="0.4">
      <c r="A4" s="1">
        <v>45748</v>
      </c>
      <c r="B4">
        <v>6</v>
      </c>
      <c r="D4">
        <f t="shared" ref="D4:D9" si="0">B4+C4</f>
        <v>6</v>
      </c>
    </row>
    <row r="5" spans="1:4" x14ac:dyDescent="0.4">
      <c r="A5" s="1">
        <v>45749</v>
      </c>
      <c r="B5">
        <v>7</v>
      </c>
      <c r="D5">
        <f t="shared" si="0"/>
        <v>7</v>
      </c>
    </row>
    <row r="6" spans="1:4" x14ac:dyDescent="0.4">
      <c r="A6" s="1">
        <v>45750</v>
      </c>
      <c r="B6">
        <v>6</v>
      </c>
      <c r="C6">
        <v>2</v>
      </c>
      <c r="D6">
        <f t="shared" si="0"/>
        <v>8</v>
      </c>
    </row>
    <row r="7" spans="1:4" x14ac:dyDescent="0.4">
      <c r="A7" s="1">
        <v>45751</v>
      </c>
      <c r="D7">
        <f t="shared" si="0"/>
        <v>0</v>
      </c>
    </row>
    <row r="8" spans="1:4" x14ac:dyDescent="0.4">
      <c r="A8" s="1">
        <v>45752</v>
      </c>
      <c r="D8">
        <f t="shared" si="0"/>
        <v>0</v>
      </c>
    </row>
    <row r="9" spans="1:4" x14ac:dyDescent="0.4">
      <c r="A9" s="1">
        <v>45753</v>
      </c>
      <c r="D9">
        <f t="shared" si="0"/>
        <v>0</v>
      </c>
    </row>
    <row r="10" spans="1:4" x14ac:dyDescent="0.4">
      <c r="C10" t="s">
        <v>3</v>
      </c>
      <c r="D10" s="2">
        <f>SUM(D3:D9)</f>
        <v>28</v>
      </c>
    </row>
    <row r="12" spans="1:4" x14ac:dyDescent="0.4">
      <c r="A12" t="s">
        <v>10</v>
      </c>
    </row>
    <row r="13" spans="1:4" x14ac:dyDescent="0.4">
      <c r="A13" s="1">
        <v>45754</v>
      </c>
      <c r="B13">
        <v>5</v>
      </c>
      <c r="C13">
        <v>2</v>
      </c>
      <c r="D13">
        <f>B13+C13</f>
        <v>7</v>
      </c>
    </row>
    <row r="14" spans="1:4" x14ac:dyDescent="0.4">
      <c r="A14" s="1">
        <v>45755</v>
      </c>
      <c r="B14">
        <v>6</v>
      </c>
      <c r="D14">
        <f t="shared" ref="D14:D19" si="1">B14+C14</f>
        <v>6</v>
      </c>
    </row>
    <row r="15" spans="1:4" x14ac:dyDescent="0.4">
      <c r="A15" s="1">
        <v>45756</v>
      </c>
      <c r="B15">
        <v>6</v>
      </c>
      <c r="D15">
        <f t="shared" si="1"/>
        <v>6</v>
      </c>
    </row>
    <row r="16" spans="1:4" x14ac:dyDescent="0.4">
      <c r="A16" s="1">
        <v>45757</v>
      </c>
      <c r="B16">
        <v>4</v>
      </c>
      <c r="C16">
        <v>2</v>
      </c>
      <c r="D16">
        <f t="shared" si="1"/>
        <v>6</v>
      </c>
    </row>
    <row r="17" spans="1:4" x14ac:dyDescent="0.4">
      <c r="A17" s="1">
        <v>45758</v>
      </c>
      <c r="B17" s="4">
        <v>2</v>
      </c>
      <c r="D17">
        <f t="shared" si="1"/>
        <v>2</v>
      </c>
    </row>
    <row r="18" spans="1:4" x14ac:dyDescent="0.4">
      <c r="A18" s="1">
        <v>45759</v>
      </c>
      <c r="B18" s="4">
        <v>3</v>
      </c>
      <c r="D18">
        <f t="shared" si="1"/>
        <v>3</v>
      </c>
    </row>
    <row r="19" spans="1:4" x14ac:dyDescent="0.4">
      <c r="A19" s="1">
        <v>45760</v>
      </c>
      <c r="B19" s="4">
        <v>3</v>
      </c>
      <c r="D19">
        <f t="shared" si="1"/>
        <v>3</v>
      </c>
    </row>
    <row r="20" spans="1:4" x14ac:dyDescent="0.4">
      <c r="C20" t="s">
        <v>3</v>
      </c>
      <c r="D20" s="2">
        <f>SUM(D13:D19)</f>
        <v>33</v>
      </c>
    </row>
    <row r="23" spans="1:4" x14ac:dyDescent="0.4">
      <c r="A23" t="s">
        <v>11</v>
      </c>
    </row>
    <row r="24" spans="1:4" x14ac:dyDescent="0.4">
      <c r="A24" s="1">
        <v>45761</v>
      </c>
      <c r="B24">
        <v>4</v>
      </c>
      <c r="C24">
        <v>2</v>
      </c>
      <c r="D24">
        <f>B24+C24</f>
        <v>6</v>
      </c>
    </row>
    <row r="25" spans="1:4" x14ac:dyDescent="0.4">
      <c r="A25" s="1">
        <v>45762</v>
      </c>
      <c r="B25">
        <v>5</v>
      </c>
      <c r="D25">
        <f t="shared" ref="D25:D30" si="2">B25+C25</f>
        <v>5</v>
      </c>
    </row>
    <row r="26" spans="1:4" x14ac:dyDescent="0.4">
      <c r="A26" s="1">
        <v>45763</v>
      </c>
      <c r="B26">
        <v>3</v>
      </c>
      <c r="D26">
        <f t="shared" si="2"/>
        <v>3</v>
      </c>
    </row>
    <row r="27" spans="1:4" x14ac:dyDescent="0.4">
      <c r="A27" s="1">
        <v>45764</v>
      </c>
      <c r="B27">
        <v>5</v>
      </c>
      <c r="C27">
        <v>2</v>
      </c>
      <c r="D27">
        <f t="shared" si="2"/>
        <v>7</v>
      </c>
    </row>
    <row r="28" spans="1:4" x14ac:dyDescent="0.4">
      <c r="A28" s="1">
        <v>45765</v>
      </c>
      <c r="D28">
        <f t="shared" si="2"/>
        <v>0</v>
      </c>
    </row>
    <row r="29" spans="1:4" x14ac:dyDescent="0.4">
      <c r="A29" s="1">
        <v>45766</v>
      </c>
      <c r="D29">
        <f t="shared" si="2"/>
        <v>0</v>
      </c>
    </row>
    <row r="30" spans="1:4" x14ac:dyDescent="0.4">
      <c r="A30" s="1">
        <v>45767</v>
      </c>
      <c r="B30">
        <v>1</v>
      </c>
      <c r="D30">
        <f t="shared" si="2"/>
        <v>1</v>
      </c>
    </row>
    <row r="31" spans="1:4" x14ac:dyDescent="0.4">
      <c r="C31" t="s">
        <v>3</v>
      </c>
      <c r="D31" s="2">
        <f>SUM(D24:D30)</f>
        <v>22</v>
      </c>
    </row>
    <row r="34" spans="1:4" x14ac:dyDescent="0.4">
      <c r="A34" t="s">
        <v>12</v>
      </c>
    </row>
    <row r="35" spans="1:4" x14ac:dyDescent="0.4">
      <c r="A35" s="1">
        <v>45768</v>
      </c>
      <c r="D35">
        <f>B35+C35</f>
        <v>0</v>
      </c>
    </row>
    <row r="36" spans="1:4" x14ac:dyDescent="0.4">
      <c r="A36" s="1">
        <v>45769</v>
      </c>
      <c r="B36">
        <v>2</v>
      </c>
      <c r="C36">
        <v>2</v>
      </c>
      <c r="D36">
        <f t="shared" ref="D36:D41" si="3">B36+C36</f>
        <v>4</v>
      </c>
    </row>
    <row r="37" spans="1:4" x14ac:dyDescent="0.4">
      <c r="A37" s="1">
        <v>45770</v>
      </c>
      <c r="B37">
        <v>3</v>
      </c>
      <c r="D37">
        <f t="shared" si="3"/>
        <v>3</v>
      </c>
    </row>
    <row r="38" spans="1:4" x14ac:dyDescent="0.4">
      <c r="A38" s="1">
        <v>45771</v>
      </c>
      <c r="B38">
        <v>6</v>
      </c>
      <c r="C38">
        <v>2</v>
      </c>
      <c r="D38">
        <f t="shared" si="3"/>
        <v>8</v>
      </c>
    </row>
    <row r="39" spans="1:4" x14ac:dyDescent="0.4">
      <c r="A39" s="1">
        <v>45772</v>
      </c>
      <c r="B39">
        <v>4</v>
      </c>
      <c r="D39">
        <f t="shared" si="3"/>
        <v>4</v>
      </c>
    </row>
    <row r="40" spans="1:4" x14ac:dyDescent="0.4">
      <c r="A40" s="1">
        <v>45773</v>
      </c>
      <c r="B40" s="4">
        <v>3</v>
      </c>
      <c r="D40">
        <f t="shared" si="3"/>
        <v>3</v>
      </c>
    </row>
    <row r="41" spans="1:4" x14ac:dyDescent="0.4">
      <c r="A41" s="1">
        <v>45774</v>
      </c>
      <c r="B41" s="4">
        <v>2</v>
      </c>
      <c r="D41">
        <f t="shared" si="3"/>
        <v>2</v>
      </c>
    </row>
    <row r="42" spans="1:4" x14ac:dyDescent="0.4">
      <c r="C42" t="s">
        <v>3</v>
      </c>
      <c r="D42" s="2">
        <f>SUM(D35:D41)</f>
        <v>24</v>
      </c>
    </row>
    <row r="44" spans="1:4" ht="29.15" x14ac:dyDescent="0.4">
      <c r="C44" s="3" t="s">
        <v>8</v>
      </c>
      <c r="D44">
        <f>(D42+D31+D20+D10)</f>
        <v>107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3"/>
  <dimension ref="A1:D54"/>
  <sheetViews>
    <sheetView topLeftCell="A16" zoomScale="80" zoomScaleNormal="80" workbookViewId="0">
      <selection activeCell="D51" sqref="D51"/>
    </sheetView>
  </sheetViews>
  <sheetFormatPr baseColWidth="10" defaultRowHeight="14.6" x14ac:dyDescent="0.4"/>
  <sheetData>
    <row r="1" spans="1:4" x14ac:dyDescent="0.4">
      <c r="A1" t="s">
        <v>13</v>
      </c>
    </row>
    <row r="2" spans="1:4" x14ac:dyDescent="0.4">
      <c r="B2" t="s">
        <v>0</v>
      </c>
      <c r="C2" t="s">
        <v>1</v>
      </c>
      <c r="D2" t="s">
        <v>2</v>
      </c>
    </row>
    <row r="3" spans="1:4" x14ac:dyDescent="0.4">
      <c r="A3" s="1">
        <v>45775</v>
      </c>
      <c r="B3">
        <v>3</v>
      </c>
      <c r="C3">
        <v>1</v>
      </c>
      <c r="D3">
        <f>B3+C3</f>
        <v>4</v>
      </c>
    </row>
    <row r="4" spans="1:4" x14ac:dyDescent="0.4">
      <c r="A4" s="1">
        <v>45776</v>
      </c>
      <c r="B4">
        <v>2</v>
      </c>
      <c r="D4">
        <f t="shared" ref="D4:D9" si="0">B4+C4</f>
        <v>2</v>
      </c>
    </row>
    <row r="5" spans="1:4" x14ac:dyDescent="0.4">
      <c r="A5" s="1">
        <v>45777</v>
      </c>
      <c r="B5">
        <v>1</v>
      </c>
      <c r="D5">
        <f t="shared" si="0"/>
        <v>1</v>
      </c>
    </row>
    <row r="6" spans="1:4" x14ac:dyDescent="0.4">
      <c r="A6" s="1">
        <v>45778</v>
      </c>
      <c r="B6">
        <v>2</v>
      </c>
      <c r="D6">
        <f t="shared" si="0"/>
        <v>2</v>
      </c>
    </row>
    <row r="7" spans="1:4" x14ac:dyDescent="0.4">
      <c r="A7" s="1">
        <v>45779</v>
      </c>
      <c r="B7">
        <v>2</v>
      </c>
      <c r="C7">
        <v>2</v>
      </c>
      <c r="D7">
        <f t="shared" si="0"/>
        <v>4</v>
      </c>
    </row>
    <row r="8" spans="1:4" x14ac:dyDescent="0.4">
      <c r="A8" s="1">
        <v>45780</v>
      </c>
      <c r="D8">
        <f t="shared" si="0"/>
        <v>0</v>
      </c>
    </row>
    <row r="9" spans="1:4" x14ac:dyDescent="0.4">
      <c r="A9" s="1">
        <v>45781</v>
      </c>
      <c r="B9">
        <v>2</v>
      </c>
      <c r="D9">
        <f t="shared" si="0"/>
        <v>2</v>
      </c>
    </row>
    <row r="10" spans="1:4" x14ac:dyDescent="0.4">
      <c r="C10" t="s">
        <v>3</v>
      </c>
      <c r="D10" s="2">
        <f>SUM(D3:D9)</f>
        <v>15</v>
      </c>
    </row>
    <row r="12" spans="1:4" x14ac:dyDescent="0.4">
      <c r="A12" t="s">
        <v>14</v>
      </c>
    </row>
    <row r="13" spans="1:4" x14ac:dyDescent="0.4">
      <c r="A13" s="1">
        <v>45782</v>
      </c>
      <c r="B13">
        <v>4</v>
      </c>
      <c r="C13">
        <v>2</v>
      </c>
      <c r="D13">
        <f>B13+C13</f>
        <v>6</v>
      </c>
    </row>
    <row r="14" spans="1:4" x14ac:dyDescent="0.4">
      <c r="A14" s="1">
        <v>45783</v>
      </c>
      <c r="B14">
        <v>6</v>
      </c>
      <c r="D14">
        <f t="shared" ref="D14:D19" si="1">B14+C14</f>
        <v>6</v>
      </c>
    </row>
    <row r="15" spans="1:4" x14ac:dyDescent="0.4">
      <c r="A15" s="1">
        <v>45784</v>
      </c>
      <c r="B15">
        <v>9</v>
      </c>
      <c r="D15">
        <f t="shared" si="1"/>
        <v>9</v>
      </c>
    </row>
    <row r="16" spans="1:4" x14ac:dyDescent="0.4">
      <c r="A16" s="1">
        <v>45785</v>
      </c>
      <c r="B16">
        <v>5</v>
      </c>
      <c r="D16">
        <f t="shared" si="1"/>
        <v>5</v>
      </c>
    </row>
    <row r="17" spans="1:4" x14ac:dyDescent="0.4">
      <c r="A17" s="1">
        <v>45786</v>
      </c>
      <c r="B17" s="4">
        <v>4</v>
      </c>
      <c r="C17">
        <v>2</v>
      </c>
      <c r="D17">
        <f t="shared" si="1"/>
        <v>6</v>
      </c>
    </row>
    <row r="18" spans="1:4" x14ac:dyDescent="0.4">
      <c r="A18" s="1">
        <v>45787</v>
      </c>
      <c r="B18" s="4"/>
      <c r="D18">
        <f t="shared" si="1"/>
        <v>0</v>
      </c>
    </row>
    <row r="19" spans="1:4" x14ac:dyDescent="0.4">
      <c r="A19" s="1">
        <v>45788</v>
      </c>
      <c r="B19" s="4">
        <v>1</v>
      </c>
      <c r="D19">
        <f t="shared" si="1"/>
        <v>1</v>
      </c>
    </row>
    <row r="20" spans="1:4" x14ac:dyDescent="0.4">
      <c r="C20" t="s">
        <v>3</v>
      </c>
      <c r="D20" s="2">
        <f>SUM(D13:D19)</f>
        <v>33</v>
      </c>
    </row>
    <row r="23" spans="1:4" x14ac:dyDescent="0.4">
      <c r="A23" t="s">
        <v>15</v>
      </c>
    </row>
    <row r="24" spans="1:4" x14ac:dyDescent="0.4">
      <c r="A24" s="1">
        <v>45789</v>
      </c>
      <c r="B24">
        <v>4</v>
      </c>
      <c r="C24">
        <v>2</v>
      </c>
      <c r="D24">
        <f>B24+C24</f>
        <v>6</v>
      </c>
    </row>
    <row r="25" spans="1:4" x14ac:dyDescent="0.4">
      <c r="A25" s="1">
        <v>45790</v>
      </c>
      <c r="B25">
        <v>2</v>
      </c>
      <c r="D25">
        <f t="shared" ref="D25:D30" si="2">B25+C25</f>
        <v>2</v>
      </c>
    </row>
    <row r="26" spans="1:4" x14ac:dyDescent="0.4">
      <c r="A26" s="1">
        <v>45791</v>
      </c>
      <c r="B26">
        <v>1</v>
      </c>
      <c r="D26">
        <f t="shared" si="2"/>
        <v>1</v>
      </c>
    </row>
    <row r="27" spans="1:4" x14ac:dyDescent="0.4">
      <c r="A27" s="1">
        <v>45792</v>
      </c>
      <c r="C27">
        <v>2</v>
      </c>
      <c r="D27">
        <f t="shared" si="2"/>
        <v>2</v>
      </c>
    </row>
    <row r="28" spans="1:4" x14ac:dyDescent="0.4">
      <c r="A28" s="1">
        <v>45793</v>
      </c>
      <c r="D28">
        <f t="shared" si="2"/>
        <v>0</v>
      </c>
    </row>
    <row r="29" spans="1:4" x14ac:dyDescent="0.4">
      <c r="A29" s="1">
        <v>45794</v>
      </c>
      <c r="D29">
        <f t="shared" si="2"/>
        <v>0</v>
      </c>
    </row>
    <row r="30" spans="1:4" x14ac:dyDescent="0.4">
      <c r="A30" s="1">
        <v>45795</v>
      </c>
      <c r="B30">
        <v>2</v>
      </c>
      <c r="D30">
        <f t="shared" si="2"/>
        <v>2</v>
      </c>
    </row>
    <row r="31" spans="1:4" x14ac:dyDescent="0.4">
      <c r="C31" t="s">
        <v>3</v>
      </c>
      <c r="D31" s="2">
        <f>SUM(D24:D30)</f>
        <v>13</v>
      </c>
    </row>
    <row r="34" spans="1:4" x14ac:dyDescent="0.4">
      <c r="A34" t="s">
        <v>16</v>
      </c>
    </row>
    <row r="35" spans="1:4" x14ac:dyDescent="0.4">
      <c r="A35" s="1">
        <v>45796</v>
      </c>
      <c r="B35">
        <v>2</v>
      </c>
      <c r="C35">
        <v>2</v>
      </c>
      <c r="D35">
        <f>B35+C35</f>
        <v>4</v>
      </c>
    </row>
    <row r="36" spans="1:4" x14ac:dyDescent="0.4">
      <c r="A36" s="1">
        <v>45797</v>
      </c>
      <c r="B36">
        <v>3</v>
      </c>
      <c r="D36">
        <f t="shared" ref="D36:D41" si="3">B36+C36</f>
        <v>3</v>
      </c>
    </row>
    <row r="37" spans="1:4" x14ac:dyDescent="0.4">
      <c r="A37" s="1">
        <v>45798</v>
      </c>
      <c r="B37">
        <v>6</v>
      </c>
      <c r="D37">
        <f t="shared" si="3"/>
        <v>6</v>
      </c>
    </row>
    <row r="38" spans="1:4" x14ac:dyDescent="0.4">
      <c r="A38" s="1">
        <v>45799</v>
      </c>
      <c r="B38">
        <v>3</v>
      </c>
      <c r="C38">
        <v>2</v>
      </c>
      <c r="D38">
        <f t="shared" si="3"/>
        <v>5</v>
      </c>
    </row>
    <row r="39" spans="1:4" x14ac:dyDescent="0.4">
      <c r="A39" s="1">
        <v>45800</v>
      </c>
      <c r="B39">
        <v>1</v>
      </c>
      <c r="D39">
        <f t="shared" si="3"/>
        <v>1</v>
      </c>
    </row>
    <row r="40" spans="1:4" x14ac:dyDescent="0.4">
      <c r="A40" s="1">
        <v>45801</v>
      </c>
      <c r="B40" s="4"/>
      <c r="D40">
        <f t="shared" si="3"/>
        <v>0</v>
      </c>
    </row>
    <row r="41" spans="1:4" x14ac:dyDescent="0.4">
      <c r="A41" s="1">
        <v>45802</v>
      </c>
      <c r="B41" s="4">
        <v>3</v>
      </c>
      <c r="D41">
        <f t="shared" si="3"/>
        <v>3</v>
      </c>
    </row>
    <row r="42" spans="1:4" x14ac:dyDescent="0.4">
      <c r="C42" t="s">
        <v>3</v>
      </c>
      <c r="D42" s="2">
        <f>SUM(D35:D41)</f>
        <v>22</v>
      </c>
    </row>
    <row r="44" spans="1:4" x14ac:dyDescent="0.4">
      <c r="A44" t="s">
        <v>17</v>
      </c>
    </row>
    <row r="45" spans="1:4" x14ac:dyDescent="0.4">
      <c r="A45" s="1">
        <v>45803</v>
      </c>
      <c r="B45">
        <v>6</v>
      </c>
      <c r="D45">
        <f>B45+C45</f>
        <v>6</v>
      </c>
    </row>
    <row r="46" spans="1:4" x14ac:dyDescent="0.4">
      <c r="A46" s="1">
        <v>45804</v>
      </c>
      <c r="B46">
        <v>3</v>
      </c>
      <c r="C46">
        <v>2</v>
      </c>
      <c r="D46">
        <f t="shared" ref="D46:D51" si="4">B46+C46</f>
        <v>5</v>
      </c>
    </row>
    <row r="47" spans="1:4" x14ac:dyDescent="0.4">
      <c r="A47" s="1">
        <v>45805</v>
      </c>
      <c r="B47">
        <v>3</v>
      </c>
      <c r="D47">
        <f t="shared" si="4"/>
        <v>3</v>
      </c>
    </row>
    <row r="48" spans="1:4" x14ac:dyDescent="0.4">
      <c r="A48" s="1">
        <v>45806</v>
      </c>
      <c r="D48">
        <f t="shared" si="4"/>
        <v>0</v>
      </c>
    </row>
    <row r="49" spans="1:4" x14ac:dyDescent="0.4">
      <c r="A49" s="1">
        <v>45807</v>
      </c>
      <c r="D49">
        <f t="shared" si="4"/>
        <v>0</v>
      </c>
    </row>
    <row r="50" spans="1:4" x14ac:dyDescent="0.4">
      <c r="A50" s="1">
        <v>45808</v>
      </c>
      <c r="B50" s="4">
        <v>1</v>
      </c>
      <c r="D50">
        <f t="shared" si="4"/>
        <v>1</v>
      </c>
    </row>
    <row r="51" spans="1:4" x14ac:dyDescent="0.4">
      <c r="A51" s="1">
        <v>45809</v>
      </c>
      <c r="B51" s="4">
        <v>2</v>
      </c>
      <c r="D51">
        <f t="shared" si="4"/>
        <v>2</v>
      </c>
    </row>
    <row r="52" spans="1:4" x14ac:dyDescent="0.4">
      <c r="C52" t="s">
        <v>3</v>
      </c>
      <c r="D52" s="2">
        <f>SUM(D45:D51)</f>
        <v>17</v>
      </c>
    </row>
    <row r="54" spans="1:4" ht="43.75" x14ac:dyDescent="0.4">
      <c r="C54" s="3" t="s">
        <v>8</v>
      </c>
      <c r="D54">
        <f>(D52+D42+D31+D20+D10)</f>
        <v>100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4"/>
  <dimension ref="A1:J54"/>
  <sheetViews>
    <sheetView topLeftCell="A28" workbookViewId="0">
      <selection activeCell="D35" sqref="D35:D41"/>
    </sheetView>
  </sheetViews>
  <sheetFormatPr baseColWidth="10" defaultRowHeight="14.6" x14ac:dyDescent="0.4"/>
  <sheetData>
    <row r="1" spans="1:10" x14ac:dyDescent="0.4">
      <c r="A1" t="s">
        <v>18</v>
      </c>
    </row>
    <row r="2" spans="1:10" x14ac:dyDescent="0.4">
      <c r="B2" t="s">
        <v>0</v>
      </c>
      <c r="C2" t="s">
        <v>1</v>
      </c>
      <c r="D2" t="s">
        <v>2</v>
      </c>
    </row>
    <row r="3" spans="1:10" x14ac:dyDescent="0.4">
      <c r="A3" s="1">
        <v>45810</v>
      </c>
      <c r="B3">
        <v>6</v>
      </c>
      <c r="D3">
        <f>B3+C3</f>
        <v>6</v>
      </c>
    </row>
    <row r="4" spans="1:10" x14ac:dyDescent="0.4">
      <c r="A4" s="1">
        <v>45811</v>
      </c>
      <c r="B4">
        <v>3</v>
      </c>
      <c r="C4">
        <v>2</v>
      </c>
      <c r="D4">
        <f t="shared" ref="D4:D9" si="0">B4+C4</f>
        <v>5</v>
      </c>
    </row>
    <row r="5" spans="1:10" x14ac:dyDescent="0.4">
      <c r="A5" s="1">
        <v>45812</v>
      </c>
      <c r="B5">
        <v>5</v>
      </c>
      <c r="D5">
        <f t="shared" si="0"/>
        <v>5</v>
      </c>
    </row>
    <row r="6" spans="1:10" x14ac:dyDescent="0.4">
      <c r="A6" s="1">
        <v>45813</v>
      </c>
      <c r="B6">
        <v>2</v>
      </c>
      <c r="C6">
        <v>2</v>
      </c>
      <c r="D6">
        <f t="shared" si="0"/>
        <v>4</v>
      </c>
    </row>
    <row r="7" spans="1:10" x14ac:dyDescent="0.4">
      <c r="A7" s="1">
        <v>45814</v>
      </c>
      <c r="B7">
        <v>2</v>
      </c>
      <c r="D7">
        <f t="shared" si="0"/>
        <v>2</v>
      </c>
    </row>
    <row r="8" spans="1:10" x14ac:dyDescent="0.4">
      <c r="A8" s="1">
        <v>45815</v>
      </c>
      <c r="B8">
        <v>4</v>
      </c>
      <c r="D8">
        <f t="shared" si="0"/>
        <v>4</v>
      </c>
    </row>
    <row r="9" spans="1:10" x14ac:dyDescent="0.4">
      <c r="A9" s="1">
        <v>45816</v>
      </c>
      <c r="B9">
        <v>4</v>
      </c>
      <c r="D9">
        <f t="shared" si="0"/>
        <v>4</v>
      </c>
    </row>
    <row r="10" spans="1:10" x14ac:dyDescent="0.4">
      <c r="C10" t="s">
        <v>3</v>
      </c>
      <c r="D10" s="2">
        <f>SUM(D3:D9)</f>
        <v>30</v>
      </c>
      <c r="J10" t="s">
        <v>23</v>
      </c>
    </row>
    <row r="11" spans="1:10" x14ac:dyDescent="0.4">
      <c r="J11" t="s">
        <v>22</v>
      </c>
    </row>
    <row r="12" spans="1:10" x14ac:dyDescent="0.4">
      <c r="A12" t="s">
        <v>19</v>
      </c>
    </row>
    <row r="13" spans="1:10" x14ac:dyDescent="0.4">
      <c r="A13" s="1">
        <v>45817</v>
      </c>
      <c r="B13">
        <v>3</v>
      </c>
      <c r="D13">
        <f>B13+C13</f>
        <v>3</v>
      </c>
    </row>
    <row r="14" spans="1:10" x14ac:dyDescent="0.4">
      <c r="A14" s="1">
        <v>45818</v>
      </c>
      <c r="B14">
        <v>2</v>
      </c>
      <c r="C14">
        <v>2</v>
      </c>
      <c r="D14">
        <f t="shared" ref="D14:D19" si="1">B14+C14</f>
        <v>4</v>
      </c>
    </row>
    <row r="15" spans="1:10" x14ac:dyDescent="0.4">
      <c r="A15" s="1">
        <v>45819</v>
      </c>
      <c r="B15">
        <v>3</v>
      </c>
      <c r="D15">
        <f t="shared" si="1"/>
        <v>3</v>
      </c>
    </row>
    <row r="16" spans="1:10" x14ac:dyDescent="0.4">
      <c r="A16" s="1">
        <v>45820</v>
      </c>
      <c r="B16">
        <v>2</v>
      </c>
      <c r="C16">
        <v>2</v>
      </c>
      <c r="D16">
        <f t="shared" si="1"/>
        <v>4</v>
      </c>
    </row>
    <row r="17" spans="1:4" x14ac:dyDescent="0.4">
      <c r="A17" s="1">
        <v>45821</v>
      </c>
      <c r="B17" s="4">
        <v>4</v>
      </c>
      <c r="D17">
        <f t="shared" si="1"/>
        <v>4</v>
      </c>
    </row>
    <row r="18" spans="1:4" x14ac:dyDescent="0.4">
      <c r="A18" s="1">
        <v>45822</v>
      </c>
      <c r="B18" s="4"/>
      <c r="D18">
        <f t="shared" si="1"/>
        <v>0</v>
      </c>
    </row>
    <row r="19" spans="1:4" x14ac:dyDescent="0.4">
      <c r="A19" s="1">
        <v>45823</v>
      </c>
      <c r="B19" s="4">
        <v>4</v>
      </c>
      <c r="D19">
        <f t="shared" si="1"/>
        <v>4</v>
      </c>
    </row>
    <row r="20" spans="1:4" x14ac:dyDescent="0.4">
      <c r="C20" t="s">
        <v>3</v>
      </c>
      <c r="D20" s="2">
        <f>SUM(D13:D19)</f>
        <v>22</v>
      </c>
    </row>
    <row r="23" spans="1:4" x14ac:dyDescent="0.4">
      <c r="A23" t="s">
        <v>20</v>
      </c>
    </row>
    <row r="24" spans="1:4" x14ac:dyDescent="0.4">
      <c r="A24" s="1">
        <v>45824</v>
      </c>
      <c r="B24">
        <v>4</v>
      </c>
      <c r="D24">
        <f>B24+C24</f>
        <v>4</v>
      </c>
    </row>
    <row r="25" spans="1:4" x14ac:dyDescent="0.4">
      <c r="A25" s="1">
        <v>45825</v>
      </c>
      <c r="B25">
        <v>2</v>
      </c>
      <c r="C25">
        <v>2</v>
      </c>
      <c r="D25">
        <f t="shared" ref="D25:D30" si="2">B25+C25</f>
        <v>4</v>
      </c>
    </row>
    <row r="26" spans="1:4" x14ac:dyDescent="0.4">
      <c r="A26" s="1">
        <v>45826</v>
      </c>
      <c r="B26">
        <v>7</v>
      </c>
      <c r="D26">
        <f t="shared" si="2"/>
        <v>7</v>
      </c>
    </row>
    <row r="27" spans="1:4" x14ac:dyDescent="0.4">
      <c r="A27" s="1">
        <v>45827</v>
      </c>
      <c r="B27">
        <v>3</v>
      </c>
      <c r="D27">
        <f t="shared" si="2"/>
        <v>3</v>
      </c>
    </row>
    <row r="28" spans="1:4" x14ac:dyDescent="0.4">
      <c r="A28" s="1">
        <v>45828</v>
      </c>
      <c r="D28">
        <f t="shared" si="2"/>
        <v>0</v>
      </c>
    </row>
    <row r="29" spans="1:4" x14ac:dyDescent="0.4">
      <c r="A29" s="1">
        <v>45829</v>
      </c>
      <c r="B29">
        <v>2</v>
      </c>
      <c r="D29">
        <f t="shared" si="2"/>
        <v>2</v>
      </c>
    </row>
    <row r="30" spans="1:4" x14ac:dyDescent="0.4">
      <c r="A30" s="1">
        <v>45830</v>
      </c>
      <c r="B30">
        <v>3</v>
      </c>
      <c r="D30">
        <f t="shared" si="2"/>
        <v>3</v>
      </c>
    </row>
    <row r="31" spans="1:4" x14ac:dyDescent="0.4">
      <c r="C31" t="s">
        <v>3</v>
      </c>
      <c r="D31" s="2">
        <f>SUM(D24:D30)</f>
        <v>23</v>
      </c>
    </row>
    <row r="34" spans="1:4" x14ac:dyDescent="0.4">
      <c r="A34" t="s">
        <v>21</v>
      </c>
    </row>
    <row r="35" spans="1:4" x14ac:dyDescent="0.4">
      <c r="A35" s="1">
        <v>45831</v>
      </c>
      <c r="B35">
        <v>5</v>
      </c>
      <c r="D35">
        <f>B35+C35</f>
        <v>5</v>
      </c>
    </row>
    <row r="36" spans="1:4" x14ac:dyDescent="0.4">
      <c r="A36" s="1">
        <v>45832</v>
      </c>
      <c r="B36">
        <v>2</v>
      </c>
      <c r="C36">
        <v>2</v>
      </c>
      <c r="D36">
        <f t="shared" ref="D36:D41" si="3">B36+C36</f>
        <v>4</v>
      </c>
    </row>
    <row r="37" spans="1:4" x14ac:dyDescent="0.4">
      <c r="A37" s="1">
        <v>45833</v>
      </c>
      <c r="B37">
        <v>4</v>
      </c>
      <c r="D37">
        <f t="shared" si="3"/>
        <v>4</v>
      </c>
    </row>
    <row r="38" spans="1:4" x14ac:dyDescent="0.4">
      <c r="A38" s="1">
        <v>45834</v>
      </c>
      <c r="B38">
        <v>1</v>
      </c>
      <c r="D38">
        <f t="shared" si="3"/>
        <v>1</v>
      </c>
    </row>
    <row r="39" spans="1:4" x14ac:dyDescent="0.4">
      <c r="A39" s="1">
        <v>45835</v>
      </c>
      <c r="B39">
        <v>6</v>
      </c>
      <c r="D39">
        <f t="shared" si="3"/>
        <v>6</v>
      </c>
    </row>
    <row r="40" spans="1:4" x14ac:dyDescent="0.4">
      <c r="A40" s="1">
        <v>45836</v>
      </c>
      <c r="B40" s="4">
        <v>1</v>
      </c>
      <c r="D40">
        <f t="shared" si="3"/>
        <v>1</v>
      </c>
    </row>
    <row r="41" spans="1:4" x14ac:dyDescent="0.4">
      <c r="A41" s="1">
        <v>45837</v>
      </c>
      <c r="B41" s="4">
        <v>2</v>
      </c>
      <c r="D41">
        <f t="shared" si="3"/>
        <v>2</v>
      </c>
    </row>
    <row r="42" spans="1:4" x14ac:dyDescent="0.4">
      <c r="C42" t="s">
        <v>3</v>
      </c>
      <c r="D42" s="2">
        <f>SUM(D35:D41)</f>
        <v>23</v>
      </c>
    </row>
    <row r="45" spans="1:4" x14ac:dyDescent="0.4">
      <c r="A45" s="1"/>
    </row>
    <row r="46" spans="1:4" x14ac:dyDescent="0.4">
      <c r="A46" s="1"/>
    </row>
    <row r="47" spans="1:4" x14ac:dyDescent="0.4">
      <c r="A47" s="1"/>
    </row>
    <row r="48" spans="1:4" x14ac:dyDescent="0.4">
      <c r="A48" s="1"/>
    </row>
    <row r="49" spans="1:4" x14ac:dyDescent="0.4">
      <c r="A49" s="1"/>
    </row>
    <row r="50" spans="1:4" x14ac:dyDescent="0.4">
      <c r="A50" s="1"/>
      <c r="B50" s="4"/>
    </row>
    <row r="51" spans="1:4" x14ac:dyDescent="0.4">
      <c r="A51" s="1"/>
      <c r="B51" s="4"/>
    </row>
    <row r="52" spans="1:4" x14ac:dyDescent="0.4">
      <c r="D52" s="2"/>
    </row>
    <row r="54" spans="1:4" ht="43.75" x14ac:dyDescent="0.4">
      <c r="C54" s="3" t="s">
        <v>8</v>
      </c>
      <c r="D54">
        <f>(D52+D42+D31+D20+D10)</f>
        <v>98</v>
      </c>
    </row>
  </sheetData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5"/>
  <dimension ref="A1:F54"/>
  <sheetViews>
    <sheetView topLeftCell="A40" workbookViewId="0">
      <selection activeCell="D50" sqref="D50:D52"/>
    </sheetView>
  </sheetViews>
  <sheetFormatPr baseColWidth="10" defaultRowHeight="14.6" x14ac:dyDescent="0.4"/>
  <sheetData>
    <row r="1" spans="1:6" x14ac:dyDescent="0.4">
      <c r="A1" t="s">
        <v>29</v>
      </c>
      <c r="F1" t="s">
        <v>28</v>
      </c>
    </row>
    <row r="2" spans="1:6" x14ac:dyDescent="0.4">
      <c r="B2" t="s">
        <v>0</v>
      </c>
      <c r="C2" t="s">
        <v>1</v>
      </c>
      <c r="D2" t="s">
        <v>2</v>
      </c>
    </row>
    <row r="3" spans="1:6" x14ac:dyDescent="0.4">
      <c r="A3" s="1">
        <v>45838</v>
      </c>
      <c r="B3">
        <v>3</v>
      </c>
      <c r="D3" t="b">
        <f>august!D3=(B3+C3)</f>
        <v>0</v>
      </c>
    </row>
    <row r="4" spans="1:6" x14ac:dyDescent="0.4">
      <c r="A4" s="1">
        <v>45839</v>
      </c>
    </row>
    <row r="5" spans="1:6" x14ac:dyDescent="0.4">
      <c r="A5" s="1">
        <v>45840</v>
      </c>
    </row>
    <row r="6" spans="1:6" x14ac:dyDescent="0.4">
      <c r="A6" s="1">
        <v>45841</v>
      </c>
    </row>
    <row r="7" spans="1:6" x14ac:dyDescent="0.4">
      <c r="A7" s="1">
        <v>45842</v>
      </c>
    </row>
    <row r="8" spans="1:6" x14ac:dyDescent="0.4">
      <c r="A8" s="1">
        <v>45843</v>
      </c>
    </row>
    <row r="9" spans="1:6" x14ac:dyDescent="0.4">
      <c r="A9" s="1">
        <v>45844</v>
      </c>
    </row>
    <row r="10" spans="1:6" x14ac:dyDescent="0.4">
      <c r="C10" t="s">
        <v>3</v>
      </c>
      <c r="D10" s="2">
        <v>13</v>
      </c>
    </row>
    <row r="12" spans="1:6" x14ac:dyDescent="0.4">
      <c r="A12" t="s">
        <v>24</v>
      </c>
    </row>
    <row r="13" spans="1:6" x14ac:dyDescent="0.4">
      <c r="A13" s="1">
        <v>45845</v>
      </c>
      <c r="B13">
        <v>6</v>
      </c>
      <c r="D13">
        <f>(B13+C13)</f>
        <v>6</v>
      </c>
    </row>
    <row r="14" spans="1:6" x14ac:dyDescent="0.4">
      <c r="A14" s="1">
        <v>45846</v>
      </c>
      <c r="B14">
        <v>5</v>
      </c>
      <c r="C14">
        <v>2</v>
      </c>
      <c r="D14">
        <f t="shared" ref="D14:D19" si="0">(B14+C14)</f>
        <v>7</v>
      </c>
    </row>
    <row r="15" spans="1:6" x14ac:dyDescent="0.4">
      <c r="A15" s="1">
        <v>45847</v>
      </c>
      <c r="B15">
        <v>7</v>
      </c>
      <c r="D15">
        <f t="shared" si="0"/>
        <v>7</v>
      </c>
    </row>
    <row r="16" spans="1:6" x14ac:dyDescent="0.4">
      <c r="A16" s="1">
        <v>45848</v>
      </c>
      <c r="B16">
        <v>4</v>
      </c>
      <c r="D16">
        <f t="shared" si="0"/>
        <v>4</v>
      </c>
    </row>
    <row r="17" spans="1:4" x14ac:dyDescent="0.4">
      <c r="A17" s="1">
        <v>45849</v>
      </c>
      <c r="B17" s="4">
        <v>2</v>
      </c>
      <c r="C17">
        <v>2</v>
      </c>
      <c r="D17">
        <f t="shared" si="0"/>
        <v>4</v>
      </c>
    </row>
    <row r="18" spans="1:4" x14ac:dyDescent="0.4">
      <c r="A18" s="1">
        <v>45850</v>
      </c>
      <c r="B18" s="4">
        <v>1</v>
      </c>
      <c r="D18">
        <f t="shared" si="0"/>
        <v>1</v>
      </c>
    </row>
    <row r="19" spans="1:4" x14ac:dyDescent="0.4">
      <c r="A19" s="1">
        <v>45851</v>
      </c>
      <c r="B19" s="4">
        <v>2</v>
      </c>
      <c r="D19">
        <f t="shared" si="0"/>
        <v>2</v>
      </c>
    </row>
    <row r="20" spans="1:4" x14ac:dyDescent="0.4">
      <c r="C20" t="s">
        <v>3</v>
      </c>
      <c r="D20" s="2">
        <f>SUM(D13:D19)</f>
        <v>31</v>
      </c>
    </row>
    <row r="23" spans="1:4" x14ac:dyDescent="0.4">
      <c r="A23" t="s">
        <v>25</v>
      </c>
    </row>
    <row r="24" spans="1:4" x14ac:dyDescent="0.4">
      <c r="A24" s="1">
        <v>45852</v>
      </c>
      <c r="B24">
        <v>4</v>
      </c>
      <c r="D24">
        <f>(B24+C24)</f>
        <v>4</v>
      </c>
    </row>
    <row r="25" spans="1:4" x14ac:dyDescent="0.4">
      <c r="A25" s="1">
        <v>45853</v>
      </c>
      <c r="B25">
        <v>2</v>
      </c>
      <c r="C25">
        <v>2</v>
      </c>
      <c r="D25">
        <f t="shared" ref="D25:D30" si="1">(B25+C25)</f>
        <v>4</v>
      </c>
    </row>
    <row r="26" spans="1:4" x14ac:dyDescent="0.4">
      <c r="A26" s="1">
        <v>45854</v>
      </c>
      <c r="B26">
        <v>1</v>
      </c>
      <c r="D26">
        <f t="shared" si="1"/>
        <v>1</v>
      </c>
    </row>
    <row r="27" spans="1:4" x14ac:dyDescent="0.4">
      <c r="A27" s="1">
        <v>45855</v>
      </c>
      <c r="B27">
        <v>6</v>
      </c>
      <c r="D27">
        <f t="shared" si="1"/>
        <v>6</v>
      </c>
    </row>
    <row r="28" spans="1:4" x14ac:dyDescent="0.4">
      <c r="A28" s="1">
        <v>45856</v>
      </c>
      <c r="B28">
        <v>4</v>
      </c>
      <c r="D28">
        <f t="shared" si="1"/>
        <v>4</v>
      </c>
    </row>
    <row r="29" spans="1:4" x14ac:dyDescent="0.4">
      <c r="A29" s="1">
        <v>45857</v>
      </c>
      <c r="D29">
        <f t="shared" si="1"/>
        <v>0</v>
      </c>
    </row>
    <row r="30" spans="1:4" x14ac:dyDescent="0.4">
      <c r="A30" s="1">
        <v>45858</v>
      </c>
      <c r="B30">
        <v>1</v>
      </c>
      <c r="D30">
        <f t="shared" si="1"/>
        <v>1</v>
      </c>
    </row>
    <row r="31" spans="1:4" x14ac:dyDescent="0.4">
      <c r="C31" t="s">
        <v>3</v>
      </c>
      <c r="D31" s="2">
        <f>SUM(D24:D30)</f>
        <v>20</v>
      </c>
    </row>
    <row r="34" spans="1:4" x14ac:dyDescent="0.4">
      <c r="A34" t="s">
        <v>26</v>
      </c>
    </row>
    <row r="35" spans="1:4" x14ac:dyDescent="0.4">
      <c r="A35" s="1">
        <v>45859</v>
      </c>
      <c r="B35">
        <v>7</v>
      </c>
      <c r="D35">
        <f>(B35+C35)</f>
        <v>7</v>
      </c>
    </row>
    <row r="36" spans="1:4" x14ac:dyDescent="0.4">
      <c r="A36" s="1">
        <v>45860</v>
      </c>
      <c r="B36">
        <v>5</v>
      </c>
      <c r="D36">
        <f t="shared" ref="D36:D41" si="2">(B36+C36)</f>
        <v>5</v>
      </c>
    </row>
    <row r="37" spans="1:4" x14ac:dyDescent="0.4">
      <c r="A37" s="1">
        <v>45861</v>
      </c>
      <c r="B37">
        <v>6</v>
      </c>
      <c r="D37">
        <f t="shared" si="2"/>
        <v>6</v>
      </c>
    </row>
    <row r="38" spans="1:4" x14ac:dyDescent="0.4">
      <c r="A38" s="1">
        <v>45862</v>
      </c>
      <c r="B38">
        <v>6</v>
      </c>
      <c r="D38">
        <f t="shared" si="2"/>
        <v>6</v>
      </c>
    </row>
    <row r="39" spans="1:4" x14ac:dyDescent="0.4">
      <c r="A39" s="1">
        <v>45863</v>
      </c>
      <c r="B39">
        <v>6</v>
      </c>
      <c r="D39">
        <f t="shared" si="2"/>
        <v>6</v>
      </c>
    </row>
    <row r="40" spans="1:4" x14ac:dyDescent="0.4">
      <c r="A40" s="1">
        <v>45864</v>
      </c>
      <c r="B40" s="4"/>
      <c r="D40">
        <f t="shared" si="2"/>
        <v>0</v>
      </c>
    </row>
    <row r="41" spans="1:4" x14ac:dyDescent="0.4">
      <c r="A41" s="1">
        <v>45865</v>
      </c>
      <c r="B41" s="4"/>
      <c r="D41">
        <f t="shared" si="2"/>
        <v>0</v>
      </c>
    </row>
    <row r="42" spans="1:4" x14ac:dyDescent="0.4">
      <c r="C42" t="s">
        <v>3</v>
      </c>
      <c r="D42" s="2">
        <f>SUM(D35:D41)</f>
        <v>30</v>
      </c>
    </row>
    <row r="45" spans="1:4" x14ac:dyDescent="0.4">
      <c r="A45" t="s">
        <v>27</v>
      </c>
    </row>
    <row r="46" spans="1:4" x14ac:dyDescent="0.4">
      <c r="A46" s="1">
        <v>45866</v>
      </c>
      <c r="B46">
        <v>5</v>
      </c>
      <c r="D46">
        <f>(B46+C46)</f>
        <v>5</v>
      </c>
    </row>
    <row r="47" spans="1:4" x14ac:dyDescent="0.4">
      <c r="A47" s="1">
        <v>45867</v>
      </c>
      <c r="B47">
        <v>7</v>
      </c>
      <c r="D47">
        <f t="shared" ref="D47:D52" si="3">(B47+C47)</f>
        <v>7</v>
      </c>
    </row>
    <row r="48" spans="1:4" x14ac:dyDescent="0.4">
      <c r="A48" s="1">
        <v>45868</v>
      </c>
      <c r="B48">
        <v>11</v>
      </c>
      <c r="D48">
        <f t="shared" si="3"/>
        <v>11</v>
      </c>
    </row>
    <row r="49" spans="1:4" x14ac:dyDescent="0.4">
      <c r="A49" s="1">
        <v>45869</v>
      </c>
      <c r="B49">
        <v>4</v>
      </c>
      <c r="D49">
        <f t="shared" si="3"/>
        <v>4</v>
      </c>
    </row>
    <row r="50" spans="1:4" x14ac:dyDescent="0.4">
      <c r="A50" s="1">
        <v>45870</v>
      </c>
      <c r="B50">
        <v>5</v>
      </c>
      <c r="D50">
        <f t="shared" si="3"/>
        <v>5</v>
      </c>
    </row>
    <row r="51" spans="1:4" x14ac:dyDescent="0.4">
      <c r="A51" s="1">
        <v>45871</v>
      </c>
      <c r="B51" s="4">
        <v>2</v>
      </c>
      <c r="D51">
        <f t="shared" si="3"/>
        <v>2</v>
      </c>
    </row>
    <row r="52" spans="1:4" x14ac:dyDescent="0.4">
      <c r="A52" s="1">
        <v>45872</v>
      </c>
      <c r="B52" s="4"/>
      <c r="D52">
        <f t="shared" si="3"/>
        <v>0</v>
      </c>
    </row>
    <row r="53" spans="1:4" x14ac:dyDescent="0.4">
      <c r="C53" t="s">
        <v>3</v>
      </c>
      <c r="D53" s="2">
        <f>SUM(D46:D52)</f>
        <v>34</v>
      </c>
    </row>
    <row r="54" spans="1:4" ht="43.75" x14ac:dyDescent="0.4">
      <c r="C54" s="3" t="s">
        <v>8</v>
      </c>
      <c r="D54">
        <f>(D53+D42+D31+D20+D10)</f>
        <v>128</v>
      </c>
    </row>
  </sheetData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abelle6"/>
  <dimension ref="A1:D54"/>
  <sheetViews>
    <sheetView topLeftCell="A18" zoomScaleNormal="100" workbookViewId="0">
      <selection activeCell="D35" sqref="D35:D41"/>
    </sheetView>
  </sheetViews>
  <sheetFormatPr baseColWidth="10" defaultRowHeight="14.6" x14ac:dyDescent="0.4"/>
  <sheetData>
    <row r="1" spans="1:4" x14ac:dyDescent="0.4">
      <c r="A1" t="s">
        <v>29</v>
      </c>
    </row>
    <row r="2" spans="1:4" x14ac:dyDescent="0.4">
      <c r="B2" t="s">
        <v>0</v>
      </c>
      <c r="C2" t="s">
        <v>1</v>
      </c>
      <c r="D2" t="s">
        <v>2</v>
      </c>
    </row>
    <row r="3" spans="1:4" x14ac:dyDescent="0.4">
      <c r="A3" s="1">
        <v>45873</v>
      </c>
      <c r="B3">
        <v>5</v>
      </c>
      <c r="D3">
        <f>(B3+C3)</f>
        <v>5</v>
      </c>
    </row>
    <row r="4" spans="1:4" x14ac:dyDescent="0.4">
      <c r="A4" s="1">
        <v>45874</v>
      </c>
      <c r="B4">
        <v>4</v>
      </c>
      <c r="D4">
        <f t="shared" ref="D4:D9" si="0">(B4+C4)</f>
        <v>4</v>
      </c>
    </row>
    <row r="5" spans="1:4" x14ac:dyDescent="0.4">
      <c r="A5" s="1">
        <v>45875</v>
      </c>
      <c r="B5">
        <v>1</v>
      </c>
      <c r="D5">
        <f t="shared" si="0"/>
        <v>1</v>
      </c>
    </row>
    <row r="6" spans="1:4" x14ac:dyDescent="0.4">
      <c r="A6" s="1">
        <v>45876</v>
      </c>
      <c r="B6">
        <v>1</v>
      </c>
      <c r="D6">
        <f t="shared" si="0"/>
        <v>1</v>
      </c>
    </row>
    <row r="7" spans="1:4" x14ac:dyDescent="0.4">
      <c r="A7" s="1">
        <v>45877</v>
      </c>
      <c r="D7">
        <f t="shared" si="0"/>
        <v>0</v>
      </c>
    </row>
    <row r="8" spans="1:4" x14ac:dyDescent="0.4">
      <c r="A8" s="1">
        <v>45878</v>
      </c>
      <c r="D8">
        <f t="shared" si="0"/>
        <v>0</v>
      </c>
    </row>
    <row r="9" spans="1:4" x14ac:dyDescent="0.4">
      <c r="A9" s="1">
        <v>45879</v>
      </c>
      <c r="D9">
        <f t="shared" si="0"/>
        <v>0</v>
      </c>
    </row>
    <row r="10" spans="1:4" x14ac:dyDescent="0.4">
      <c r="C10" t="s">
        <v>3</v>
      </c>
      <c r="D10" s="2">
        <f>SUM(D3:D9)</f>
        <v>11</v>
      </c>
    </row>
    <row r="12" spans="1:4" x14ac:dyDescent="0.4">
      <c r="A12" t="s">
        <v>30</v>
      </c>
    </row>
    <row r="13" spans="1:4" x14ac:dyDescent="0.4">
      <c r="A13" s="1">
        <v>45880</v>
      </c>
      <c r="B13">
        <v>3</v>
      </c>
      <c r="D13">
        <f>(B13+C13)</f>
        <v>3</v>
      </c>
    </row>
    <row r="14" spans="1:4" x14ac:dyDescent="0.4">
      <c r="A14" s="1">
        <v>45881</v>
      </c>
      <c r="B14">
        <v>3</v>
      </c>
      <c r="D14">
        <f t="shared" ref="D14:D19" si="1">(B14+C14)</f>
        <v>3</v>
      </c>
    </row>
    <row r="15" spans="1:4" x14ac:dyDescent="0.4">
      <c r="A15" s="1">
        <v>45882</v>
      </c>
      <c r="B15">
        <v>3</v>
      </c>
      <c r="D15">
        <f t="shared" si="1"/>
        <v>3</v>
      </c>
    </row>
    <row r="16" spans="1:4" x14ac:dyDescent="0.4">
      <c r="A16" s="1">
        <v>45883</v>
      </c>
      <c r="B16">
        <v>1</v>
      </c>
      <c r="D16">
        <f t="shared" si="1"/>
        <v>1</v>
      </c>
    </row>
    <row r="17" spans="1:4" x14ac:dyDescent="0.4">
      <c r="A17" s="1">
        <v>45884</v>
      </c>
      <c r="B17" s="4">
        <v>3</v>
      </c>
      <c r="D17">
        <f t="shared" si="1"/>
        <v>3</v>
      </c>
    </row>
    <row r="18" spans="1:4" x14ac:dyDescent="0.4">
      <c r="A18" s="1">
        <v>45885</v>
      </c>
      <c r="B18" s="4"/>
      <c r="D18">
        <f t="shared" si="1"/>
        <v>0</v>
      </c>
    </row>
    <row r="19" spans="1:4" x14ac:dyDescent="0.4">
      <c r="A19" s="1">
        <v>45886</v>
      </c>
      <c r="B19" s="4">
        <v>4</v>
      </c>
      <c r="D19">
        <f t="shared" si="1"/>
        <v>4</v>
      </c>
    </row>
    <row r="20" spans="1:4" x14ac:dyDescent="0.4">
      <c r="C20" t="s">
        <v>3</v>
      </c>
      <c r="D20" s="2">
        <f>SUM(D13:D19)</f>
        <v>17</v>
      </c>
    </row>
    <row r="23" spans="1:4" x14ac:dyDescent="0.4">
      <c r="A23" t="s">
        <v>31</v>
      </c>
    </row>
    <row r="24" spans="1:4" x14ac:dyDescent="0.4">
      <c r="A24" s="1">
        <v>45887</v>
      </c>
      <c r="B24">
        <v>5</v>
      </c>
      <c r="D24">
        <f>(B24+C24)</f>
        <v>5</v>
      </c>
    </row>
    <row r="25" spans="1:4" x14ac:dyDescent="0.4">
      <c r="A25" s="1">
        <v>45888</v>
      </c>
      <c r="B25">
        <v>3</v>
      </c>
      <c r="D25">
        <f t="shared" ref="D25:D30" si="2">(B25+C25)</f>
        <v>3</v>
      </c>
    </row>
    <row r="26" spans="1:4" x14ac:dyDescent="0.4">
      <c r="A26" s="1">
        <v>45889</v>
      </c>
      <c r="B26">
        <v>4</v>
      </c>
      <c r="D26">
        <f t="shared" si="2"/>
        <v>4</v>
      </c>
    </row>
    <row r="27" spans="1:4" x14ac:dyDescent="0.4">
      <c r="A27" s="1">
        <v>45890</v>
      </c>
      <c r="B27">
        <v>4</v>
      </c>
      <c r="D27">
        <f t="shared" si="2"/>
        <v>4</v>
      </c>
    </row>
    <row r="28" spans="1:4" x14ac:dyDescent="0.4">
      <c r="A28" s="1">
        <v>45891</v>
      </c>
      <c r="B28">
        <v>4</v>
      </c>
      <c r="D28">
        <f t="shared" si="2"/>
        <v>4</v>
      </c>
    </row>
    <row r="29" spans="1:4" x14ac:dyDescent="0.4">
      <c r="A29" s="1">
        <v>45892</v>
      </c>
      <c r="B29">
        <v>4</v>
      </c>
      <c r="D29">
        <f t="shared" si="2"/>
        <v>4</v>
      </c>
    </row>
    <row r="30" spans="1:4" x14ac:dyDescent="0.4">
      <c r="A30" s="1">
        <v>45893</v>
      </c>
      <c r="D30">
        <f t="shared" si="2"/>
        <v>0</v>
      </c>
    </row>
    <row r="31" spans="1:4" x14ac:dyDescent="0.4">
      <c r="C31" t="s">
        <v>3</v>
      </c>
      <c r="D31" s="2">
        <f>SUM(D24:D30)</f>
        <v>24</v>
      </c>
    </row>
    <row r="34" spans="1:4" x14ac:dyDescent="0.4">
      <c r="A34" t="s">
        <v>32</v>
      </c>
    </row>
    <row r="35" spans="1:4" x14ac:dyDescent="0.4">
      <c r="A35" s="1">
        <v>45894</v>
      </c>
      <c r="B35">
        <v>2</v>
      </c>
      <c r="D35">
        <f>(B35+C35)</f>
        <v>2</v>
      </c>
    </row>
    <row r="36" spans="1:4" x14ac:dyDescent="0.4">
      <c r="A36" s="1">
        <v>45895</v>
      </c>
      <c r="D36">
        <f t="shared" ref="D36:D41" si="3">(B36+C36)</f>
        <v>0</v>
      </c>
    </row>
    <row r="37" spans="1:4" x14ac:dyDescent="0.4">
      <c r="A37" s="1">
        <v>45896</v>
      </c>
      <c r="B37">
        <v>3</v>
      </c>
      <c r="D37">
        <f t="shared" si="3"/>
        <v>3</v>
      </c>
    </row>
    <row r="38" spans="1:4" x14ac:dyDescent="0.4">
      <c r="A38" s="1">
        <v>45897</v>
      </c>
      <c r="B38">
        <v>3</v>
      </c>
      <c r="D38">
        <f t="shared" si="3"/>
        <v>3</v>
      </c>
    </row>
    <row r="39" spans="1:4" x14ac:dyDescent="0.4">
      <c r="A39" s="1">
        <v>45898</v>
      </c>
      <c r="D39">
        <f t="shared" si="3"/>
        <v>0</v>
      </c>
    </row>
    <row r="40" spans="1:4" x14ac:dyDescent="0.4">
      <c r="A40" s="1">
        <v>45899</v>
      </c>
      <c r="B40" s="4"/>
      <c r="D40">
        <f t="shared" si="3"/>
        <v>0</v>
      </c>
    </row>
    <row r="41" spans="1:4" x14ac:dyDescent="0.4">
      <c r="A41" s="1">
        <v>45900</v>
      </c>
      <c r="B41" s="4"/>
      <c r="D41">
        <f t="shared" si="3"/>
        <v>0</v>
      </c>
    </row>
    <row r="42" spans="1:4" x14ac:dyDescent="0.4">
      <c r="C42" t="s">
        <v>3</v>
      </c>
      <c r="D42" s="2">
        <f>SUM(D35:D41)</f>
        <v>8</v>
      </c>
    </row>
    <row r="46" spans="1:4" x14ac:dyDescent="0.4">
      <c r="A46" s="1"/>
    </row>
    <row r="47" spans="1:4" x14ac:dyDescent="0.4">
      <c r="A47" s="1"/>
    </row>
    <row r="48" spans="1:4" x14ac:dyDescent="0.4">
      <c r="A48" s="1"/>
    </row>
    <row r="49" spans="1:4" x14ac:dyDescent="0.4">
      <c r="A49" s="1"/>
    </row>
    <row r="50" spans="1:4" x14ac:dyDescent="0.4">
      <c r="A50" s="1"/>
    </row>
    <row r="51" spans="1:4" x14ac:dyDescent="0.4">
      <c r="A51" s="1"/>
      <c r="B51" s="4"/>
    </row>
    <row r="52" spans="1:4" x14ac:dyDescent="0.4">
      <c r="A52" s="1"/>
      <c r="B52" s="4"/>
    </row>
    <row r="53" spans="1:4" x14ac:dyDescent="0.4">
      <c r="C53" t="s">
        <v>3</v>
      </c>
      <c r="D53" s="2">
        <f>SUM(D46:D52)</f>
        <v>0</v>
      </c>
    </row>
    <row r="54" spans="1:4" ht="43.75" x14ac:dyDescent="0.4">
      <c r="C54" s="3" t="s">
        <v>8</v>
      </c>
      <c r="D54">
        <f>(D53+D42+D31+D20+D10)</f>
        <v>60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3E861-39D2-461A-A181-1942B8007CC6}">
  <dimension ref="A1:D53"/>
  <sheetViews>
    <sheetView tabSelected="1" topLeftCell="A27" workbookViewId="0">
      <selection activeCell="D53" sqref="D53"/>
    </sheetView>
  </sheetViews>
  <sheetFormatPr baseColWidth="10" defaultRowHeight="14.6" x14ac:dyDescent="0.4"/>
  <sheetData>
    <row r="1" spans="1:4" x14ac:dyDescent="0.4">
      <c r="A1" t="s">
        <v>33</v>
      </c>
    </row>
    <row r="2" spans="1:4" x14ac:dyDescent="0.4">
      <c r="B2" t="s">
        <v>0</v>
      </c>
      <c r="C2" t="s">
        <v>1</v>
      </c>
      <c r="D2" t="s">
        <v>2</v>
      </c>
    </row>
    <row r="3" spans="1:4" x14ac:dyDescent="0.4">
      <c r="A3" s="1">
        <v>45901</v>
      </c>
      <c r="B3">
        <v>3</v>
      </c>
      <c r="D3">
        <f>(B3+C3)</f>
        <v>3</v>
      </c>
    </row>
    <row r="4" spans="1:4" x14ac:dyDescent="0.4">
      <c r="A4" s="1">
        <v>45902</v>
      </c>
      <c r="D4">
        <f t="shared" ref="D4:D9" si="0">(B4+C4)</f>
        <v>0</v>
      </c>
    </row>
    <row r="5" spans="1:4" x14ac:dyDescent="0.4">
      <c r="A5" s="1">
        <v>45903</v>
      </c>
      <c r="D5">
        <f t="shared" si="0"/>
        <v>0</v>
      </c>
    </row>
    <row r="6" spans="1:4" x14ac:dyDescent="0.4">
      <c r="A6" s="1">
        <v>45904</v>
      </c>
      <c r="D6">
        <f t="shared" si="0"/>
        <v>0</v>
      </c>
    </row>
    <row r="7" spans="1:4" x14ac:dyDescent="0.4">
      <c r="A7" s="1">
        <v>45905</v>
      </c>
      <c r="D7">
        <f t="shared" si="0"/>
        <v>0</v>
      </c>
    </row>
    <row r="8" spans="1:4" x14ac:dyDescent="0.4">
      <c r="A8" s="1">
        <v>45906</v>
      </c>
      <c r="D8">
        <f t="shared" si="0"/>
        <v>0</v>
      </c>
    </row>
    <row r="9" spans="1:4" x14ac:dyDescent="0.4">
      <c r="A9" s="1">
        <v>45907</v>
      </c>
      <c r="D9">
        <f t="shared" si="0"/>
        <v>0</v>
      </c>
    </row>
    <row r="10" spans="1:4" x14ac:dyDescent="0.4">
      <c r="C10" t="s">
        <v>3</v>
      </c>
      <c r="D10" s="2">
        <f>SUM(D3:D9)</f>
        <v>3</v>
      </c>
    </row>
    <row r="12" spans="1:4" x14ac:dyDescent="0.4">
      <c r="A12" t="s">
        <v>34</v>
      </c>
    </row>
    <row r="13" spans="1:4" x14ac:dyDescent="0.4">
      <c r="A13" s="1">
        <v>45908</v>
      </c>
      <c r="D13">
        <f>(B13+C13)</f>
        <v>0</v>
      </c>
    </row>
    <row r="14" spans="1:4" x14ac:dyDescent="0.4">
      <c r="A14" s="1">
        <v>45909</v>
      </c>
      <c r="D14">
        <f t="shared" ref="D14:D19" si="1">(B14+C14)</f>
        <v>0</v>
      </c>
    </row>
    <row r="15" spans="1:4" x14ac:dyDescent="0.4">
      <c r="A15" s="1">
        <v>45910</v>
      </c>
      <c r="D15">
        <f t="shared" si="1"/>
        <v>0</v>
      </c>
    </row>
    <row r="16" spans="1:4" x14ac:dyDescent="0.4">
      <c r="A16" s="1">
        <v>45911</v>
      </c>
      <c r="D16">
        <f t="shared" si="1"/>
        <v>0</v>
      </c>
    </row>
    <row r="17" spans="1:4" x14ac:dyDescent="0.4">
      <c r="A17" s="1">
        <v>45912</v>
      </c>
      <c r="B17" s="4"/>
      <c r="D17">
        <f t="shared" si="1"/>
        <v>0</v>
      </c>
    </row>
    <row r="18" spans="1:4" x14ac:dyDescent="0.4">
      <c r="A18" s="1">
        <v>45913</v>
      </c>
      <c r="B18" s="4"/>
      <c r="D18">
        <f t="shared" si="1"/>
        <v>0</v>
      </c>
    </row>
    <row r="19" spans="1:4" x14ac:dyDescent="0.4">
      <c r="A19" s="1">
        <v>45914</v>
      </c>
      <c r="B19" s="4"/>
      <c r="D19">
        <f t="shared" si="1"/>
        <v>0</v>
      </c>
    </row>
    <row r="20" spans="1:4" x14ac:dyDescent="0.4">
      <c r="C20" t="s">
        <v>3</v>
      </c>
      <c r="D20" s="2">
        <f>SUM(D13:D19)</f>
        <v>0</v>
      </c>
    </row>
    <row r="23" spans="1:4" x14ac:dyDescent="0.4">
      <c r="A23" t="s">
        <v>35</v>
      </c>
    </row>
    <row r="24" spans="1:4" x14ac:dyDescent="0.4">
      <c r="A24" s="1">
        <v>45915</v>
      </c>
      <c r="D24">
        <f>(B24+C24)</f>
        <v>0</v>
      </c>
    </row>
    <row r="25" spans="1:4" x14ac:dyDescent="0.4">
      <c r="A25" s="1">
        <v>45916</v>
      </c>
      <c r="B25">
        <v>2</v>
      </c>
      <c r="D25">
        <f t="shared" ref="D25:D30" si="2">(B25+C25)</f>
        <v>2</v>
      </c>
    </row>
    <row r="26" spans="1:4" x14ac:dyDescent="0.4">
      <c r="A26" s="1">
        <v>45917</v>
      </c>
      <c r="B26">
        <v>2</v>
      </c>
      <c r="D26">
        <f t="shared" si="2"/>
        <v>2</v>
      </c>
    </row>
    <row r="27" spans="1:4" x14ac:dyDescent="0.4">
      <c r="A27" s="1">
        <v>45918</v>
      </c>
      <c r="D27">
        <f t="shared" si="2"/>
        <v>0</v>
      </c>
    </row>
    <row r="28" spans="1:4" x14ac:dyDescent="0.4">
      <c r="A28" s="1">
        <v>45919</v>
      </c>
      <c r="D28">
        <f t="shared" si="2"/>
        <v>0</v>
      </c>
    </row>
    <row r="29" spans="1:4" x14ac:dyDescent="0.4">
      <c r="A29" s="1">
        <v>45920</v>
      </c>
      <c r="D29">
        <f t="shared" si="2"/>
        <v>0</v>
      </c>
    </row>
    <row r="30" spans="1:4" x14ac:dyDescent="0.4">
      <c r="A30" s="1">
        <v>45921</v>
      </c>
      <c r="D30">
        <f t="shared" si="2"/>
        <v>0</v>
      </c>
    </row>
    <row r="31" spans="1:4" x14ac:dyDescent="0.4">
      <c r="C31" t="s">
        <v>3</v>
      </c>
      <c r="D31" s="2">
        <f>SUM(D24:D30)</f>
        <v>4</v>
      </c>
    </row>
    <row r="34" spans="1:4" x14ac:dyDescent="0.4">
      <c r="A34" t="s">
        <v>36</v>
      </c>
    </row>
    <row r="35" spans="1:4" x14ac:dyDescent="0.4">
      <c r="A35" s="1">
        <v>45922</v>
      </c>
      <c r="D35">
        <f>(B35+C35)</f>
        <v>0</v>
      </c>
    </row>
    <row r="36" spans="1:4" x14ac:dyDescent="0.4">
      <c r="A36" s="1">
        <v>45923</v>
      </c>
      <c r="B36">
        <v>2</v>
      </c>
      <c r="D36">
        <f t="shared" ref="D36:D41" si="3">(B36+C36)</f>
        <v>2</v>
      </c>
    </row>
    <row r="37" spans="1:4" x14ac:dyDescent="0.4">
      <c r="A37" s="1">
        <v>45924</v>
      </c>
      <c r="B37">
        <v>2</v>
      </c>
      <c r="D37">
        <f t="shared" si="3"/>
        <v>2</v>
      </c>
    </row>
    <row r="38" spans="1:4" x14ac:dyDescent="0.4">
      <c r="A38" s="1">
        <v>45925</v>
      </c>
      <c r="D38">
        <f t="shared" si="3"/>
        <v>0</v>
      </c>
    </row>
    <row r="39" spans="1:4" x14ac:dyDescent="0.4">
      <c r="A39" s="1">
        <v>45926</v>
      </c>
      <c r="D39">
        <f t="shared" si="3"/>
        <v>0</v>
      </c>
    </row>
    <row r="40" spans="1:4" x14ac:dyDescent="0.4">
      <c r="A40" s="1">
        <v>45927</v>
      </c>
      <c r="B40" s="4"/>
      <c r="D40">
        <f t="shared" si="3"/>
        <v>0</v>
      </c>
    </row>
    <row r="41" spans="1:4" x14ac:dyDescent="0.4">
      <c r="A41" s="1">
        <v>45928</v>
      </c>
      <c r="B41" s="4"/>
      <c r="D41">
        <f t="shared" si="3"/>
        <v>0</v>
      </c>
    </row>
    <row r="42" spans="1:4" x14ac:dyDescent="0.4">
      <c r="C42" t="s">
        <v>3</v>
      </c>
      <c r="D42" s="2">
        <f>SUM(D35:D41)</f>
        <v>4</v>
      </c>
    </row>
    <row r="46" spans="1:4" x14ac:dyDescent="0.4">
      <c r="A46" s="1"/>
    </row>
    <row r="47" spans="1:4" x14ac:dyDescent="0.4">
      <c r="A47" s="1"/>
    </row>
    <row r="48" spans="1:4" x14ac:dyDescent="0.4">
      <c r="A48" s="1"/>
    </row>
    <row r="49" spans="1:4" x14ac:dyDescent="0.4">
      <c r="A49" s="1"/>
    </row>
    <row r="50" spans="1:4" x14ac:dyDescent="0.4">
      <c r="A50" s="1"/>
    </row>
    <row r="51" spans="1:4" x14ac:dyDescent="0.4">
      <c r="A51" s="1"/>
      <c r="B51" s="4"/>
    </row>
    <row r="52" spans="1:4" x14ac:dyDescent="0.4">
      <c r="A52" s="1"/>
      <c r="B52" s="4"/>
    </row>
    <row r="53" spans="1:4" ht="43.75" x14ac:dyDescent="0.4">
      <c r="C53" s="3" t="s">
        <v>8</v>
      </c>
      <c r="D53" s="2">
        <f>(D10+D20+D31+D42)</f>
        <v>11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BF75E-4BA5-457F-97E9-195CFDDF8613}">
  <dimension ref="A1:G39"/>
  <sheetViews>
    <sheetView topLeftCell="A3" zoomScale="80" zoomScaleNormal="80" workbookViewId="0">
      <selection activeCell="G11" sqref="G11"/>
    </sheetView>
  </sheetViews>
  <sheetFormatPr baseColWidth="10" defaultRowHeight="14.6" x14ac:dyDescent="0.4"/>
  <cols>
    <col min="6" max="6" width="15" bestFit="1" customWidth="1"/>
  </cols>
  <sheetData>
    <row r="1" spans="1:7" ht="15" thickBot="1" x14ac:dyDescent="0.45"/>
    <row r="2" spans="1:7" x14ac:dyDescent="0.4">
      <c r="A2" s="5">
        <v>45929</v>
      </c>
      <c r="B2" s="6">
        <v>3</v>
      </c>
      <c r="C2" s="6">
        <v>1</v>
      </c>
      <c r="D2" s="7">
        <f>(B2+C2)</f>
        <v>4</v>
      </c>
    </row>
    <row r="3" spans="1:7" x14ac:dyDescent="0.4">
      <c r="A3" s="8">
        <v>45930</v>
      </c>
      <c r="B3">
        <v>3</v>
      </c>
      <c r="C3">
        <v>2</v>
      </c>
      <c r="D3" s="9">
        <f t="shared" ref="D3:D36" si="0">(B3+C3)</f>
        <v>5</v>
      </c>
    </row>
    <row r="4" spans="1:7" x14ac:dyDescent="0.4">
      <c r="A4" s="8">
        <v>45931</v>
      </c>
      <c r="B4">
        <v>2</v>
      </c>
      <c r="C4">
        <v>2</v>
      </c>
      <c r="D4" s="9">
        <f t="shared" si="0"/>
        <v>4</v>
      </c>
    </row>
    <row r="5" spans="1:7" x14ac:dyDescent="0.4">
      <c r="A5" s="8">
        <v>45932</v>
      </c>
      <c r="B5">
        <v>3</v>
      </c>
      <c r="D5" s="9">
        <f t="shared" si="0"/>
        <v>3</v>
      </c>
    </row>
    <row r="6" spans="1:7" x14ac:dyDescent="0.4">
      <c r="A6" s="8">
        <v>45933</v>
      </c>
      <c r="B6">
        <v>5</v>
      </c>
      <c r="D6" s="9">
        <f t="shared" si="0"/>
        <v>5</v>
      </c>
    </row>
    <row r="7" spans="1:7" x14ac:dyDescent="0.4">
      <c r="A7" s="8">
        <v>45934</v>
      </c>
      <c r="B7" s="4">
        <v>4</v>
      </c>
      <c r="D7" s="9">
        <f t="shared" si="0"/>
        <v>4</v>
      </c>
    </row>
    <row r="8" spans="1:7" ht="15" thickBot="1" x14ac:dyDescent="0.45">
      <c r="A8" s="10">
        <v>45935</v>
      </c>
      <c r="B8" s="11">
        <v>6</v>
      </c>
      <c r="C8" s="12"/>
      <c r="D8" s="13">
        <f t="shared" si="0"/>
        <v>6</v>
      </c>
      <c r="E8" t="s">
        <v>36</v>
      </c>
      <c r="F8" t="s">
        <v>3</v>
      </c>
      <c r="G8" s="2">
        <f>SUM(D1:D8)</f>
        <v>31</v>
      </c>
    </row>
    <row r="9" spans="1:7" x14ac:dyDescent="0.4">
      <c r="A9" s="5">
        <v>45936</v>
      </c>
      <c r="B9" s="6"/>
      <c r="C9" s="6">
        <v>1</v>
      </c>
      <c r="D9" s="7">
        <f>(B9+C9)</f>
        <v>1</v>
      </c>
    </row>
    <row r="10" spans="1:7" x14ac:dyDescent="0.4">
      <c r="A10" s="8">
        <v>45937</v>
      </c>
      <c r="B10">
        <v>5</v>
      </c>
      <c r="C10">
        <v>2</v>
      </c>
      <c r="D10" s="9">
        <f t="shared" si="0"/>
        <v>7</v>
      </c>
    </row>
    <row r="11" spans="1:7" x14ac:dyDescent="0.4">
      <c r="A11" s="8">
        <v>45938</v>
      </c>
      <c r="B11">
        <v>3</v>
      </c>
      <c r="C11">
        <v>2</v>
      </c>
      <c r="D11" s="9">
        <f t="shared" si="0"/>
        <v>5</v>
      </c>
    </row>
    <row r="12" spans="1:7" x14ac:dyDescent="0.4">
      <c r="A12" s="8">
        <v>45939</v>
      </c>
      <c r="D12" s="9">
        <f t="shared" si="0"/>
        <v>0</v>
      </c>
    </row>
    <row r="13" spans="1:7" x14ac:dyDescent="0.4">
      <c r="A13" s="8">
        <v>45940</v>
      </c>
      <c r="D13" s="9">
        <f t="shared" si="0"/>
        <v>0</v>
      </c>
    </row>
    <row r="14" spans="1:7" x14ac:dyDescent="0.4">
      <c r="A14" s="8">
        <v>45941</v>
      </c>
      <c r="D14" s="9">
        <f t="shared" si="0"/>
        <v>0</v>
      </c>
    </row>
    <row r="15" spans="1:7" ht="15" thickBot="1" x14ac:dyDescent="0.45">
      <c r="A15" s="10">
        <v>45942</v>
      </c>
      <c r="B15" s="12"/>
      <c r="C15" s="12"/>
      <c r="D15" s="13">
        <f t="shared" si="0"/>
        <v>0</v>
      </c>
      <c r="E15" t="s">
        <v>37</v>
      </c>
      <c r="F15" t="s">
        <v>3</v>
      </c>
      <c r="G15" s="2">
        <f>SUM(D8:D15)</f>
        <v>19</v>
      </c>
    </row>
    <row r="16" spans="1:7" x14ac:dyDescent="0.4">
      <c r="A16" s="5">
        <v>45943</v>
      </c>
      <c r="B16" s="6"/>
      <c r="C16" s="6">
        <v>1</v>
      </c>
      <c r="D16" s="7">
        <f>(B16+C16)</f>
        <v>1</v>
      </c>
    </row>
    <row r="17" spans="1:7" x14ac:dyDescent="0.4">
      <c r="A17" s="8">
        <v>45944</v>
      </c>
      <c r="D17" s="9">
        <f t="shared" si="0"/>
        <v>0</v>
      </c>
    </row>
    <row r="18" spans="1:7" x14ac:dyDescent="0.4">
      <c r="A18" s="8">
        <v>45945</v>
      </c>
      <c r="C18">
        <v>2</v>
      </c>
      <c r="D18" s="9">
        <f t="shared" si="0"/>
        <v>2</v>
      </c>
    </row>
    <row r="19" spans="1:7" x14ac:dyDescent="0.4">
      <c r="A19" s="8">
        <v>45946</v>
      </c>
      <c r="D19" s="9">
        <f t="shared" si="0"/>
        <v>0</v>
      </c>
    </row>
    <row r="20" spans="1:7" x14ac:dyDescent="0.4">
      <c r="A20" s="8">
        <v>45947</v>
      </c>
      <c r="D20" s="9">
        <f t="shared" si="0"/>
        <v>0</v>
      </c>
    </row>
    <row r="21" spans="1:7" x14ac:dyDescent="0.4">
      <c r="A21" s="8">
        <v>45948</v>
      </c>
      <c r="D21" s="9">
        <f t="shared" si="0"/>
        <v>0</v>
      </c>
    </row>
    <row r="22" spans="1:7" ht="15" thickBot="1" x14ac:dyDescent="0.45">
      <c r="A22" s="10">
        <v>45949</v>
      </c>
      <c r="B22" s="12"/>
      <c r="C22" s="12"/>
      <c r="D22" s="13">
        <f t="shared" si="0"/>
        <v>0</v>
      </c>
      <c r="E22" t="s">
        <v>38</v>
      </c>
      <c r="F22" t="s">
        <v>3</v>
      </c>
      <c r="G22" s="2">
        <f>SUM(D16:D22)</f>
        <v>3</v>
      </c>
    </row>
    <row r="23" spans="1:7" x14ac:dyDescent="0.4">
      <c r="A23" s="5">
        <v>45950</v>
      </c>
      <c r="B23" s="6"/>
      <c r="C23" s="6">
        <v>1</v>
      </c>
      <c r="D23" s="7">
        <f>(B23+C23)</f>
        <v>1</v>
      </c>
    </row>
    <row r="24" spans="1:7" x14ac:dyDescent="0.4">
      <c r="A24" s="8">
        <v>45951</v>
      </c>
      <c r="D24" s="9">
        <f t="shared" si="0"/>
        <v>0</v>
      </c>
    </row>
    <row r="25" spans="1:7" x14ac:dyDescent="0.4">
      <c r="A25" s="8">
        <v>45952</v>
      </c>
      <c r="C25">
        <v>2</v>
      </c>
      <c r="D25" s="9">
        <f t="shared" si="0"/>
        <v>2</v>
      </c>
    </row>
    <row r="26" spans="1:7" x14ac:dyDescent="0.4">
      <c r="A26" s="8">
        <v>45953</v>
      </c>
      <c r="D26" s="9">
        <f t="shared" si="0"/>
        <v>0</v>
      </c>
    </row>
    <row r="27" spans="1:7" x14ac:dyDescent="0.4">
      <c r="A27" s="8">
        <v>45954</v>
      </c>
      <c r="D27" s="9">
        <f t="shared" si="0"/>
        <v>0</v>
      </c>
    </row>
    <row r="28" spans="1:7" x14ac:dyDescent="0.4">
      <c r="A28" s="8">
        <v>45955</v>
      </c>
      <c r="D28" s="9">
        <f t="shared" si="0"/>
        <v>0</v>
      </c>
    </row>
    <row r="29" spans="1:7" ht="15" thickBot="1" x14ac:dyDescent="0.45">
      <c r="A29" s="10">
        <v>45956</v>
      </c>
      <c r="B29" s="12"/>
      <c r="C29" s="12"/>
      <c r="D29" s="13">
        <f t="shared" si="0"/>
        <v>0</v>
      </c>
      <c r="E29" t="s">
        <v>39</v>
      </c>
      <c r="F29" t="s">
        <v>3</v>
      </c>
      <c r="G29" s="2">
        <f>SUM(D23:D29)</f>
        <v>3</v>
      </c>
    </row>
    <row r="30" spans="1:7" x14ac:dyDescent="0.4">
      <c r="A30" s="5">
        <v>45957</v>
      </c>
      <c r="B30" s="6"/>
      <c r="C30" s="6">
        <v>1</v>
      </c>
      <c r="D30" s="7">
        <f>(B30+C30)</f>
        <v>1</v>
      </c>
    </row>
    <row r="31" spans="1:7" x14ac:dyDescent="0.4">
      <c r="A31" s="8">
        <v>45958</v>
      </c>
      <c r="C31">
        <v>2</v>
      </c>
      <c r="D31" s="9">
        <f t="shared" si="0"/>
        <v>2</v>
      </c>
    </row>
    <row r="32" spans="1:7" x14ac:dyDescent="0.4">
      <c r="A32" s="8">
        <v>45959</v>
      </c>
      <c r="C32">
        <v>2</v>
      </c>
      <c r="D32" s="9">
        <f t="shared" si="0"/>
        <v>2</v>
      </c>
    </row>
    <row r="33" spans="1:7" x14ac:dyDescent="0.4">
      <c r="A33" s="8">
        <v>45960</v>
      </c>
      <c r="D33" s="9">
        <f t="shared" si="0"/>
        <v>0</v>
      </c>
    </row>
    <row r="34" spans="1:7" x14ac:dyDescent="0.4">
      <c r="A34" s="8">
        <v>45961</v>
      </c>
      <c r="D34" s="9">
        <f t="shared" si="0"/>
        <v>0</v>
      </c>
    </row>
    <row r="35" spans="1:7" x14ac:dyDescent="0.4">
      <c r="A35" s="8">
        <v>45962</v>
      </c>
      <c r="D35" s="9">
        <f t="shared" si="0"/>
        <v>0</v>
      </c>
    </row>
    <row r="36" spans="1:7" ht="15" thickBot="1" x14ac:dyDescent="0.45">
      <c r="A36" s="10">
        <v>45963</v>
      </c>
      <c r="B36" s="12"/>
      <c r="C36" s="12"/>
      <c r="D36" s="13">
        <f t="shared" si="0"/>
        <v>0</v>
      </c>
      <c r="E36" t="s">
        <v>39</v>
      </c>
      <c r="F36" t="s">
        <v>3</v>
      </c>
      <c r="G36" s="2">
        <f>SUM(D30:D36)</f>
        <v>5</v>
      </c>
    </row>
    <row r="39" spans="1:7" x14ac:dyDescent="0.4">
      <c r="F39" t="s">
        <v>40</v>
      </c>
      <c r="G39" s="2">
        <f>(G8+G15+G22+G36)</f>
        <v>58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Maerz</vt:lpstr>
      <vt:lpstr>april</vt:lpstr>
      <vt:lpstr>mai</vt:lpstr>
      <vt:lpstr>juni</vt:lpstr>
      <vt:lpstr>july</vt:lpstr>
      <vt:lpstr>august</vt:lpstr>
      <vt:lpstr>september</vt:lpstr>
      <vt:lpstr>oktober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evovtch</dc:creator>
  <cp:lastModifiedBy>evovtch</cp:lastModifiedBy>
  <dcterms:created xsi:type="dcterms:W3CDTF">2025-03-05T19:10:21Z</dcterms:created>
  <dcterms:modified xsi:type="dcterms:W3CDTF">2025-12-02T15:11:10Z</dcterms:modified>
</cp:coreProperties>
</file>